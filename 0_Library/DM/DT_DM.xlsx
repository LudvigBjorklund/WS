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 - Calc" sheetId="1" r:id="rId4"/>
    <sheet state="visible" name="R0" sheetId="2" r:id="rId5"/>
    <sheet state="visible" name="Vocv" sheetId="3" r:id="rId6"/>
    <sheet state="visible" name="R2" sheetId="4" r:id="rId7"/>
    <sheet state="visible" name="C2" sheetId="5" r:id="rId8"/>
    <sheet state="visible" name="c2 - 1C2" sheetId="6" r:id="rId9"/>
    <sheet state="visible" name="a2" sheetId="7" r:id="rId10"/>
    <sheet state="visible" name="C1" sheetId="8" r:id="rId11"/>
    <sheet state="visible" name="c1 1C1" sheetId="9" r:id="rId12"/>
    <sheet state="visible" name="a1 (1(R1C1))" sheetId="10" r:id="rId13"/>
    <sheet state="visible" name="R1" sheetId="11" r:id="rId14"/>
    <sheet state="visible" name="Sheet6" sheetId="12" r:id="rId15"/>
    <sheet state="visible" name="Sheet4" sheetId="13" r:id="rId16"/>
    <sheet state="visible" name="2D LUT Test Cases" sheetId="14" r:id="rId17"/>
    <sheet state="visible" name="Sheet3" sheetId="15" r:id="rId18"/>
    <sheet state="visible" name="Sheet5" sheetId="16" r:id="rId19"/>
  </sheets>
  <definedNames/>
  <calcPr/>
</workbook>
</file>

<file path=xl/sharedStrings.xml><?xml version="1.0" encoding="utf-8"?>
<sst xmlns="http://schemas.openxmlformats.org/spreadsheetml/2006/main" count="393" uniqueCount="258">
  <si>
    <t>row</t>
  </si>
  <si>
    <t>rowcol_mul</t>
  </si>
  <si>
    <t>Int_bin</t>
  </si>
  <si>
    <t>frac_bin</t>
  </si>
  <si>
    <t>Int_dec</t>
  </si>
  <si>
    <t>Frac_dec</t>
  </si>
  <si>
    <t>col</t>
  </si>
  <si>
    <t>rowcol_add</t>
  </si>
  <si>
    <t>rowbin_int</t>
  </si>
  <si>
    <t xml:space="preserve">Row : </t>
  </si>
  <si>
    <t xml:space="preserve">row </t>
  </si>
  <si>
    <t>rowint</t>
  </si>
  <si>
    <t>rowbin_frac</t>
  </si>
  <si>
    <t>Col  :</t>
  </si>
  <si>
    <t>colint</t>
  </si>
  <si>
    <t>rowfrac</t>
  </si>
  <si>
    <t>col_int</t>
  </si>
  <si>
    <t>SOC</t>
  </si>
  <si>
    <t>colfrac</t>
  </si>
  <si>
    <t>col_frac</t>
  </si>
  <si>
    <t>Current</t>
  </si>
  <si>
    <t>w11</t>
  </si>
  <si>
    <t>w12</t>
  </si>
  <si>
    <t>w21</t>
  </si>
  <si>
    <t>w22</t>
  </si>
  <si>
    <t>x11</t>
  </si>
  <si>
    <t>x12</t>
  </si>
  <si>
    <t>x21</t>
  </si>
  <si>
    <t>x22</t>
  </si>
  <si>
    <t>r_val</t>
  </si>
  <si>
    <t>SOC =</t>
  </si>
  <si>
    <t>r_val_bin</t>
  </si>
  <si>
    <t>indx 13</t>
  </si>
  <si>
    <t>w1_bin</t>
  </si>
  <si>
    <t xml:space="preserve">indx 14 </t>
  </si>
  <si>
    <t>w1_bindec</t>
  </si>
  <si>
    <t>indx 24</t>
  </si>
  <si>
    <t>w2_bin</t>
  </si>
  <si>
    <t>indx 25</t>
  </si>
  <si>
    <t>w2_bin2dec</t>
  </si>
  <si>
    <t>r_valbin</t>
  </si>
  <si>
    <t>r_valbin2dec</t>
  </si>
  <si>
    <t>o_val</t>
  </si>
  <si>
    <t>r_R0_int</t>
  </si>
  <si>
    <t>r_R0_frac</t>
  </si>
  <si>
    <t>r_R0_dec</t>
  </si>
  <si>
    <t>INPUT_ ELEMENTINDEX (11*row+col)</t>
  </si>
  <si>
    <t>HEXValue</t>
  </si>
  <si>
    <t>Tableval</t>
  </si>
  <si>
    <t>x11_integer</t>
  </si>
  <si>
    <t>Column</t>
  </si>
  <si>
    <t>x1_bin</t>
  </si>
  <si>
    <t>Row</t>
  </si>
  <si>
    <t>x1_intpart</t>
  </si>
  <si>
    <t>x1_bin2dec</t>
  </si>
  <si>
    <t>x2_bin</t>
  </si>
  <si>
    <t>x2_intpart</t>
  </si>
  <si>
    <t>x2_bin2dec</t>
  </si>
  <si>
    <t xml:space="preserve">y1bin </t>
  </si>
  <si>
    <t>y1_intpart</t>
  </si>
  <si>
    <t>y1_decpart</t>
  </si>
  <si>
    <t>FROM TABLE X21</t>
  </si>
  <si>
    <t>FROM GTKSIM</t>
  </si>
  <si>
    <t>fraction_input_row</t>
  </si>
  <si>
    <t>fraction_col</t>
  </si>
  <si>
    <t>and</t>
  </si>
  <si>
    <t>or</t>
  </si>
  <si>
    <t>xor</t>
  </si>
  <si>
    <t>nor</t>
  </si>
  <si>
    <t>Finding if the add will be larger than 1</t>
  </si>
  <si>
    <t>SOC = 0 [%]</t>
  </si>
  <si>
    <t>SOC = 10 [%]</t>
  </si>
  <si>
    <t>SOC = 20 [%]</t>
  </si>
  <si>
    <t>SOC = 30 [%]</t>
  </si>
  <si>
    <t>SOC = 40 [%]</t>
  </si>
  <si>
    <t>SOC = 50 [%]</t>
  </si>
  <si>
    <t>SOC = 60 [%]</t>
  </si>
  <si>
    <t>SOC = 70 [%]</t>
  </si>
  <si>
    <t>SOC = 80 [%]</t>
  </si>
  <si>
    <t>SOC = 90 [%]</t>
  </si>
  <si>
    <t>SOC = 100 [%]</t>
  </si>
  <si>
    <t>I= 1 [A]</t>
  </si>
  <si>
    <t>I= 2 [A]</t>
  </si>
  <si>
    <t>I= 3 [A]</t>
  </si>
  <si>
    <t>I= 4 [A]</t>
  </si>
  <si>
    <t>I= 5 [A]</t>
  </si>
  <si>
    <t>I= 6 [A]</t>
  </si>
  <si>
    <t>I= 7 [A]</t>
  </si>
  <si>
    <t>I= 8 [A]</t>
  </si>
  <si>
    <t>I= 9 [A]</t>
  </si>
  <si>
    <t>I= 10 [A]</t>
  </si>
  <si>
    <t>I= 11 [A]</t>
  </si>
  <si>
    <t>I= 12 [A]</t>
  </si>
  <si>
    <t>I= 13 [A]</t>
  </si>
  <si>
    <t>I= 14 [A]</t>
  </si>
  <si>
    <t>I= 15 [A]</t>
  </si>
  <si>
    <t>I= 16[A]</t>
  </si>
  <si>
    <t>Vocv (mV)</t>
  </si>
  <si>
    <t>z</t>
  </si>
  <si>
    <t>kF</t>
  </si>
  <si>
    <t>I= 16 [A]</t>
  </si>
  <si>
    <t>0110100000000000</t>
  </si>
  <si>
    <t>0110011111111111</t>
  </si>
  <si>
    <t xml:space="preserve"> </t>
  </si>
  <si>
    <t>I= 0 [A]</t>
  </si>
  <si>
    <t xml:space="preserve">Test-Case </t>
  </si>
  <si>
    <t>Sub-test</t>
  </si>
  <si>
    <t>Case</t>
  </si>
  <si>
    <t>Column 1</t>
  </si>
  <si>
    <t>Readaddresses</t>
  </si>
  <si>
    <t>rowcoladd&gt;1</t>
  </si>
  <si>
    <t>Column 2</t>
  </si>
  <si>
    <t>Column 4</t>
  </si>
  <si>
    <t>Column 3</t>
  </si>
  <si>
    <t>Assertions 8 MSB</t>
  </si>
  <si>
    <t>Column 5</t>
  </si>
  <si>
    <t>Column 6</t>
  </si>
  <si>
    <t>w13</t>
  </si>
  <si>
    <t>w14</t>
  </si>
  <si>
    <t>Start in (0,0)</t>
  </si>
  <si>
    <t>Read and output x11 (No-need for interpolation)</t>
  </si>
  <si>
    <t>Done!</t>
  </si>
  <si>
    <t>(0, 0.00390625)</t>
  </si>
  <si>
    <t>Case =0001, horizontal interpolation, keepe x11 valid, x12_req</t>
  </si>
  <si>
    <t>1,0</t>
  </si>
  <si>
    <t>(0.00390625,0)</t>
  </si>
  <si>
    <t xml:space="preserve">Case =0010, vertical interpolatin, x12_not req, x21 req, </t>
  </si>
  <si>
    <t>11,0</t>
  </si>
  <si>
    <t>(0.0078125, 0.0078125)</t>
  </si>
  <si>
    <t>Cae = 0011, bi-linear interpolation x12_req, x21_req = 1, output approx = 126.28</t>
  </si>
  <si>
    <t>(1.0625, 1.0625)</t>
  </si>
  <si>
    <t>Integer, no sat, frac, 0011, all go to invalid, updating the weights, new output</t>
  </si>
  <si>
    <t>13,23,24,12</t>
  </si>
  <si>
    <t>(1.00390625, 1.00390625</t>
  </si>
  <si>
    <t>No integer change, valid_weights goes to 0, new out 39.9 approx</t>
  </si>
  <si>
    <t>No new addres, all valid</t>
  </si>
  <si>
    <t>(1,1)</t>
  </si>
  <si>
    <t>No valid clearance, (except weight), case 0, only req is x11</t>
  </si>
  <si>
    <t>(1.2617875, 1.13671875)</t>
  </si>
  <si>
    <t>Change case to 3, No update required of lookup values (x11, etc), output 36.307 approx</t>
  </si>
  <si>
    <t>(1.35546875, 16.3046875)</t>
  </si>
  <si>
    <t>Add is more than 1, case =3, output should be approx 28.958</t>
  </si>
  <si>
    <t>(11,11)</t>
  </si>
  <si>
    <t>Saturated column, non-saturated row), no fractions, case =0100, all x11 non-valid, x11 req only, output approx 3.4</t>
  </si>
  <si>
    <t>ROWCOLADD reset added | to sewtich ist to a zero</t>
  </si>
  <si>
    <t>(5,11.328125)</t>
  </si>
  <si>
    <t>Saturated column, fraction only in column, case=0101, x11 only required, output = x11 = table(5,10) = 5.25</t>
  </si>
  <si>
    <t>(6.75,11)</t>
  </si>
  <si>
    <t>Saturated col, fraction only in row, case =0110, x12 added to req and should have addressess 6*11+10 and 7*11+10</t>
  </si>
  <si>
    <t>76,87,76</t>
  </si>
  <si>
    <t>OVAL = wrong, weights are not updated</t>
  </si>
  <si>
    <t>The lookup state remained high to long</t>
  </si>
  <si>
    <t>The weights were not updating correctly</t>
  </si>
  <si>
    <t>(4.25, 12.1875)</t>
  </si>
  <si>
    <t>Sat col, fractions in both, should still only have vertical interpolation new x11=5.5, new x21 =5.25</t>
  </si>
  <si>
    <t>(15, 9)</t>
  </si>
  <si>
    <t>Row sat, column unsaturated, case 0, i.e.  only x11 shoiuld be updated , outputvalue approx 2.45</t>
  </si>
  <si>
    <t>(15, 9.005078125)</t>
  </si>
  <si>
    <t>Row sat, column unsat and fractions, x12 is needed to update | o_val 2.4474609  approox</t>
  </si>
  <si>
    <t>(15.8.95)</t>
  </si>
  <si>
    <t>Rw sat. col unsat with fraction, should find a new x11 and new x12 | 0_val = 2.4515625</t>
  </si>
  <si>
    <t xml:space="preserve">The x11 and x12 is never read and </t>
  </si>
  <si>
    <t>(15.09375,7.96875)</t>
  </si>
  <si>
    <t>Should update x11, x12 and new output</t>
  </si>
  <si>
    <t>(15.09375,9)</t>
  </si>
  <si>
    <t>Rw_sat w frac, col unsat, no frac, should find a new x11</t>
  </si>
  <si>
    <t>Does not update the x11 | sets the right read</t>
  </si>
  <si>
    <t>(15.09375,4.0578125)</t>
  </si>
  <si>
    <t>Case = 1011, new x11 anew x12, output approx 4.79</t>
  </si>
  <si>
    <t>(15, 10)</t>
  </si>
  <si>
    <t>Case =1100, new x11 but only that one</t>
  </si>
  <si>
    <t>(15,10.0578125)</t>
  </si>
  <si>
    <t>Cae = 1101, same  x11</t>
  </si>
  <si>
    <t>(15.05078125, 10 )</t>
  </si>
  <si>
    <t>Case = 1110, same x11</t>
  </si>
  <si>
    <t>(15.05078125, 10.05078125 )</t>
  </si>
  <si>
    <t>Case = 1111, same x11</t>
  </si>
  <si>
    <t>(15.75, 1.9921875(</t>
  </si>
  <si>
    <t>Case = 1011, new x11, new x12, approx 6.8015625 in ouptupt</t>
  </si>
  <si>
    <t>(2.75, 1.9921875)</t>
  </si>
  <si>
    <t>Case = 0011, new x11, x12,x21,x22</t>
  </si>
  <si>
    <t>before fix out 19.5546875
 x22 is 18, but in the sheet it is 22</t>
  </si>
  <si>
    <t>(2.75, 1)</t>
  </si>
  <si>
    <t>Case = 0010, old x11, x21,, new weights | 26.7500000</t>
  </si>
  <si>
    <t>(2.75, 1.0703125)</t>
  </si>
  <si>
    <t>Case = 0011, old x11, x21, new weights, || output expected 26.4511719</t>
  </si>
  <si>
    <t>(2, 1.0703125)</t>
  </si>
  <si>
    <t>Case = 0001, old x11,  new x12, output 31.4375000 is expected</t>
  </si>
  <si>
    <t>(6.70703125, 3.3515625)</t>
  </si>
  <si>
    <t>Case = 0011, new x11, x12,x21,x22 | output 11.5898438 approc</t>
  </si>
  <si>
    <t>(10.6640625, 5.33203125</t>
  </si>
  <si>
    <t>Case = 0011, new x11, x12,xx21 | approx 4.1264648</t>
  </si>
  <si>
    <t>(0.00390625, 0.00390625)</t>
  </si>
  <si>
    <t>Case = 0011, new x11, x12 et | approx 126.6912842</t>
  </si>
  <si>
    <t>(15.9921875, 15.9921875)</t>
  </si>
  <si>
    <t>Case = 1111, new x11 (pos 175) | 2.4</t>
  </si>
  <si>
    <t>(10.66796875, 5.3359375)</t>
  </si>
  <si>
    <t>Case = 0011, new x11, x12, x21, x22 | 4.1240234</t>
  </si>
  <si>
    <t>(15.99609375, 0)</t>
  </si>
  <si>
    <t>Case = 1010</t>
  </si>
  <si>
    <t>Done|</t>
  </si>
  <si>
    <t>(15.99609375, 15.99609375</t>
  </si>
  <si>
    <t>Case = 1111 , new x11</t>
  </si>
  <si>
    <t>(8, 8)</t>
  </si>
  <si>
    <t>Case = 0000, new x11,</t>
  </si>
  <si>
    <t>when</t>
  </si>
  <si>
    <t>Row within bounds, Column within bounds, Row is only zerosColumns is only zeros</t>
  </si>
  <si>
    <t>CASE 0</t>
  </si>
  <si>
    <t>o_data &lt;= x11</t>
  </si>
  <si>
    <t>Row within bounds, Column within bounds, Row is only zeros, Columns has fractions</t>
  </si>
  <si>
    <t>CASE 1</t>
  </si>
  <si>
    <t>Horizontal interpolation</t>
  </si>
  <si>
    <t>Row within bounds, Column within bounds, Row has fractionsColumns is only zeros</t>
  </si>
  <si>
    <t>CASE 2</t>
  </si>
  <si>
    <t>Vertical Interpolation</t>
  </si>
  <si>
    <t>Row within bounds, Column within bounds, Row has fractions, Columns has fractions</t>
  </si>
  <si>
    <t>CASE 3</t>
  </si>
  <si>
    <t>Bilinear Interpolation</t>
  </si>
  <si>
    <t>Row within bounds, Column Saturated, Row is only zerosColumns is only zeros</t>
  </si>
  <si>
    <t>Row within bounds, Column Saturated, Row is only zeros, Columns has fractions</t>
  </si>
  <si>
    <t>Row within bounds, Column Saturated, Row has fractionsColumns is only zeros</t>
  </si>
  <si>
    <t>Row within bounds, Column Saturated, Row has fractions, Columns has fractions</t>
  </si>
  <si>
    <t>Row Saturated, Column within bounds, Row is only zerosColumns is only zeros</t>
  </si>
  <si>
    <t>Row Saturated, Column within bounds, Row is only zeros, Columns has fractions</t>
  </si>
  <si>
    <t>Row Saturated, Column within bounds, Row has fractionsColumns is only zeros</t>
  </si>
  <si>
    <t>Row Saturated, Column within bounds, Row has fractions, Columns has fractions</t>
  </si>
  <si>
    <t>Row Saturated, Column Saturated, Row is only zerosColumns is only zeros</t>
  </si>
  <si>
    <t>Row Saturated, Column Saturated, Row is only zeros, Columns has fractions</t>
  </si>
  <si>
    <t>Row Saturated, Column Saturated, Row has fractions, Columns is only zeros</t>
  </si>
  <si>
    <t>Row Saturated, Column Saturated, Row has fractions, Columns has fractions</t>
  </si>
  <si>
    <t>Revision Name</t>
  </si>
  <si>
    <t>TL_2DLUT</t>
  </si>
  <si>
    <t>BRAM</t>
  </si>
  <si>
    <t>Top-level Entity Name</t>
  </si>
  <si>
    <t>Family</t>
  </si>
  <si>
    <t>Cyclone V</t>
  </si>
  <si>
    <t>Device</t>
  </si>
  <si>
    <t>5CSEMA5F31C6</t>
  </si>
  <si>
    <t>Timing Models</t>
  </si>
  <si>
    <t>Final</t>
  </si>
  <si>
    <t>Logic utilization (in ALMs)</t>
  </si>
  <si>
    <t>379 / 32,070 ( 1 % )</t>
  </si>
  <si>
    <t>Total registers</t>
  </si>
  <si>
    <t>Total pins</t>
  </si>
  <si>
    <t>57 / 457 ( 12 % )</t>
  </si>
  <si>
    <t>Total virtual pins</t>
  </si>
  <si>
    <t>Total block memory bits</t>
  </si>
  <si>
    <t>2,816 / 4,065,280 ( &lt; 1 % )</t>
  </si>
  <si>
    <t>Total DSP Blocks</t>
  </si>
  <si>
    <t>13 / 87 ( 15 % )</t>
  </si>
  <si>
    <t>Total HSSI RX PCSs</t>
  </si>
  <si>
    <t>Total HSSI PMA RX Deserializers</t>
  </si>
  <si>
    <t>Total HSSI TX PCSs</t>
  </si>
  <si>
    <t>Total HSSI PMA TX Serializers</t>
  </si>
  <si>
    <t>Total PLLs</t>
  </si>
  <si>
    <t>0 / 6 ( 0 % )</t>
  </si>
  <si>
    <t>Total DLLs</t>
  </si>
  <si>
    <t>0 / 4 ( 0 %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</si>
</sst>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00000"/>
    <numFmt numFmtId="165" formatCode="0.0000000"/>
    <numFmt numFmtId="166" formatCode="[hh]:mm:ss"/>
    <numFmt numFmtId="167" formatCode="0.0000000000000E+00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B5CEA8"/>
      <name val="&quot;Droid Sans Mono&quot;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1F1F1F"/>
        <bgColor rgb="FF1F1F1F"/>
      </patternFill>
    </fill>
    <fill>
      <patternFill patternType="solid">
        <fgColor rgb="FFF1C232"/>
        <bgColor rgb="FFF1C232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Font="1"/>
    <xf borderId="4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5" fillId="0" fontId="1" numFmtId="0" xfId="0" applyAlignment="1" applyBorder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0" fontId="3" numFmtId="0" xfId="0" applyAlignment="1" applyFont="1">
      <alignment readingOrder="0"/>
    </xf>
    <xf borderId="0" fillId="2" fontId="1" numFmtId="0" xfId="0" applyAlignment="1" applyFill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0" fillId="0" fontId="4" numFmtId="165" xfId="0" applyFont="1" applyNumberFormat="1"/>
    <xf borderId="0" fillId="3" fontId="5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0" fontId="4" numFmtId="167" xfId="0" applyAlignment="1" applyFont="1" applyNumberFormat="1">
      <alignment readingOrder="0"/>
    </xf>
    <xf borderId="0" fillId="0" fontId="4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4" fontId="4" numFmtId="0" xfId="0" applyAlignment="1" applyFill="1" applyFont="1">
      <alignment readingOrder="0" shrinkToFit="0" vertical="center" wrapText="0"/>
    </xf>
    <xf borderId="0" fillId="4" fontId="4" numFmtId="0" xfId="0" applyAlignment="1" applyFont="1">
      <alignment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2D LUT 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38" displayName="Table1" name="Table1" id="1">
  <tableColumns count="17">
    <tableColumn name="Test-Case " id="1"/>
    <tableColumn name="Sub-test" id="2"/>
    <tableColumn name="Case" id="3"/>
    <tableColumn name="Column 1" id="4"/>
    <tableColumn name="x11" id="5"/>
    <tableColumn name="x12" id="6"/>
    <tableColumn name="x21" id="7"/>
    <tableColumn name="x22" id="8"/>
    <tableColumn name="o_val" id="9"/>
    <tableColumn name="Readaddresses" id="10"/>
    <tableColumn name="rowcoladd&gt;1" id="11"/>
    <tableColumn name="Column 2" id="12"/>
    <tableColumn name="Column 4" id="13"/>
    <tableColumn name="Column 3" id="14"/>
    <tableColumn name="Assertions 8 MSB" id="15"/>
    <tableColumn name="Column 5" id="16"/>
    <tableColumn name="Column 6" id="17"/>
  </tableColumns>
  <tableStyleInfo name="2D LUT 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tr">
        <f t="shared" ref="B1:L1" si="1">"SOC = "&amp;10*(COLUMN()-2)&amp;" [%]"</f>
        <v>SOC = 0 [%]</v>
      </c>
      <c r="C1" s="2" t="str">
        <f t="shared" si="1"/>
        <v>SOC = 10 [%]</v>
      </c>
      <c r="D1" s="2" t="str">
        <f t="shared" si="1"/>
        <v>SOC = 20 [%]</v>
      </c>
      <c r="E1" s="2" t="str">
        <f t="shared" si="1"/>
        <v>SOC = 30 [%]</v>
      </c>
      <c r="F1" s="2" t="str">
        <f t="shared" si="1"/>
        <v>SOC = 40 [%]</v>
      </c>
      <c r="G1" s="2" t="str">
        <f t="shared" si="1"/>
        <v>SOC = 50 [%]</v>
      </c>
      <c r="H1" s="2" t="str">
        <f t="shared" si="1"/>
        <v>SOC = 60 [%]</v>
      </c>
      <c r="I1" s="2" t="str">
        <f t="shared" si="1"/>
        <v>SOC = 70 [%]</v>
      </c>
      <c r="J1" s="2" t="str">
        <f t="shared" si="1"/>
        <v>SOC = 80 [%]</v>
      </c>
      <c r="K1" s="2" t="str">
        <f t="shared" si="1"/>
        <v>SOC = 90 [%]</v>
      </c>
      <c r="L1" s="3" t="str">
        <f t="shared" si="1"/>
        <v>SOC = 100 [%]</v>
      </c>
      <c r="M1" s="4"/>
      <c r="P1" s="5"/>
    </row>
    <row r="2">
      <c r="A2" s="6" t="str">
        <f t="shared" ref="A2:A17" si="2">"I= "&amp;1*(row()-1)&amp;" [A]"</f>
        <v>I= 1 [A]</v>
      </c>
      <c r="B2" s="7">
        <v>127.0</v>
      </c>
      <c r="C2" s="7">
        <v>50.0</v>
      </c>
      <c r="D2" s="7">
        <v>35.0</v>
      </c>
      <c r="E2" s="7">
        <v>25.0</v>
      </c>
      <c r="F2" s="7">
        <v>17.0</v>
      </c>
      <c r="G2" s="7">
        <v>15.0</v>
      </c>
      <c r="H2" s="7">
        <v>14.0</v>
      </c>
      <c r="I2" s="7">
        <v>13.0</v>
      </c>
      <c r="J2" s="7">
        <v>12.5</v>
      </c>
      <c r="K2" s="7">
        <v>11.0</v>
      </c>
      <c r="L2" s="8">
        <v>9.0</v>
      </c>
      <c r="M2" s="4">
        <v>0.0</v>
      </c>
      <c r="P2" s="9" t="s">
        <v>0</v>
      </c>
      <c r="Q2" s="9">
        <f t="array" ref="Q2">min(BIN2DEC(W3)+SUM(MID(W4, ROW(INDIRECT("1:" &amp; LEN(W4))), 1) * 2^(-ROW(INDIRECT("1:" &amp; LEN(W4))))),15)</f>
        <v>1.63671875</v>
      </c>
      <c r="S2" s="9" t="s">
        <v>1</v>
      </c>
      <c r="T2" s="10">
        <f>Q6*Q7</f>
        <v>0.3606414795</v>
      </c>
      <c r="Z2" s="9" t="s">
        <v>2</v>
      </c>
      <c r="AA2" s="9" t="s">
        <v>3</v>
      </c>
      <c r="AB2" s="9" t="s">
        <v>4</v>
      </c>
      <c r="AC2" s="9" t="s">
        <v>5</v>
      </c>
    </row>
    <row r="3">
      <c r="A3" s="6" t="str">
        <f t="shared" si="2"/>
        <v>I= 2 [A]</v>
      </c>
      <c r="B3" s="7">
        <v>125.0</v>
      </c>
      <c r="C3" s="7">
        <v>40.0</v>
      </c>
      <c r="D3" s="7">
        <v>27.0</v>
      </c>
      <c r="E3" s="7">
        <v>20.0</v>
      </c>
      <c r="F3" s="7">
        <v>16.0</v>
      </c>
      <c r="G3" s="7">
        <v>14.0</v>
      </c>
      <c r="H3" s="7">
        <v>12.0</v>
      </c>
      <c r="I3" s="7">
        <v>11.0</v>
      </c>
      <c r="J3" s="7">
        <v>10.0</v>
      </c>
      <c r="K3" s="7">
        <v>9.0</v>
      </c>
      <c r="L3" s="8">
        <v>8.0</v>
      </c>
      <c r="M3" s="4">
        <f t="shared" ref="M3:M17" si="3">M2+1</f>
        <v>1</v>
      </c>
      <c r="P3" s="9" t="s">
        <v>6</v>
      </c>
      <c r="Q3" s="9">
        <f t="array" ref="Q3">min(10,BIN2DEC(W6)+SUM(MID(W7, ROW(INDIRECT("1:" &amp; LEN(W7))), 1) * 2^(-ROW(INDIRECT("1:" &amp; LEN(W7))))))</f>
        <v>1.56640625</v>
      </c>
      <c r="S3" s="9" t="s">
        <v>7</v>
      </c>
      <c r="T3" s="11">
        <f>Q6+Q7</f>
        <v>1.203125</v>
      </c>
      <c r="V3" s="9" t="s">
        <v>8</v>
      </c>
      <c r="W3" s="10" t="str">
        <f>Z3</f>
        <v>0001</v>
      </c>
      <c r="X3" s="12" t="s">
        <v>9</v>
      </c>
      <c r="Y3" s="9">
        <f>Y7-1</f>
        <v>1.64</v>
      </c>
      <c r="Z3" s="10" t="str">
        <f t="shared" ref="Z3:Z4" si="4">dec2bin(rounddown(Y3,0),4)</f>
        <v>0001</v>
      </c>
      <c r="AA3" s="10" t="str">
        <f t="shared" ref="AA3:AA4" si="5">
IF(Y3-rounddown(Y3,0)&gt;=0.5, "1", "0") &amp;
IF(MOD(Y3-rounddown(Y3,0),0.5)&gt;=0.25, "1", "0") &amp;
IF(MOD(MOD(Y3-rounddown(Y3,0),0.5),0.25)&gt;=0.125, "1", "0") &amp;
IF(MOD(MOD(MOD(Y3-rounddown(Y3,0),0.5),0.25),0.125)&gt;=0.0625, "1", "0") &amp;
IF(MOD(MOD(MOD(MOD(Y3-rounddown(Y3,0),0.5),0.25),0.125),0.0625)&gt;=0.03125, "1", "0") &amp;
IF(MOD(MOD(MOD(MOD(MOD(Y3-rounddown(Y3,0),0.5),0.25),0.125),0.0625),0.03125)&gt;=0.015625, "1", "0") &amp;
IF(MOD(MOD(MOD(MOD(MOD(MOD(Y3-rounddown(Y3,0),0.5),0.25),0.125),0.0625),0.03125),0.015625)&gt;=0.0078125, "1", "0") &amp;
IF(MOD(MOD(MOD(MOD(MOD(MOD(MOD(Y3-rounddown(Y3,0),0.5),0.25),0.125),0.0625),0.03125),0.015625),0.0078125)&gt;=0.00390625, "1", "0")</f>
        <v>10100011</v>
      </c>
      <c r="AB3" s="9">
        <v>8.6</v>
      </c>
      <c r="AC3" s="10">
        <f t="array" ref="AC3">SUM(MID(AA3, ROW(INDIRECT("1:" &amp; LEN(AA3))), 1) * 2^(-ROW(INDIRECT("1:" &amp; LEN(AA3)))))</f>
        <v>0.63671875</v>
      </c>
      <c r="AD3" s="9"/>
      <c r="AE3" s="9" t="s">
        <v>10</v>
      </c>
      <c r="AF3" s="9"/>
      <c r="AG3" s="9"/>
      <c r="AH3" s="9">
        <v>1.255</v>
      </c>
    </row>
    <row r="4">
      <c r="A4" s="6" t="str">
        <f t="shared" si="2"/>
        <v>I= 3 [A]</v>
      </c>
      <c r="B4" s="7">
        <v>123.0</v>
      </c>
      <c r="C4" s="7">
        <v>32.0</v>
      </c>
      <c r="D4" s="7">
        <v>24.0</v>
      </c>
      <c r="E4" s="7">
        <v>19.0</v>
      </c>
      <c r="F4" s="7">
        <v>15.0</v>
      </c>
      <c r="G4" s="7">
        <v>13.0</v>
      </c>
      <c r="H4" s="7">
        <v>11.0</v>
      </c>
      <c r="I4" s="7">
        <v>10.0</v>
      </c>
      <c r="J4" s="7">
        <v>9.5</v>
      </c>
      <c r="K4" s="7">
        <v>8.5</v>
      </c>
      <c r="L4" s="8">
        <v>7.5</v>
      </c>
      <c r="M4" s="4">
        <f t="shared" si="3"/>
        <v>2</v>
      </c>
      <c r="P4" s="9" t="s">
        <v>11</v>
      </c>
      <c r="Q4" s="10">
        <f t="shared" ref="Q4:Q5" si="6">ROUNDDOWN(Q2,0)</f>
        <v>1</v>
      </c>
      <c r="V4" s="9" t="s">
        <v>12</v>
      </c>
      <c r="W4" s="10" t="str">
        <f>AA3</f>
        <v>10100011</v>
      </c>
      <c r="X4" s="12" t="s">
        <v>13</v>
      </c>
      <c r="Y4" s="9">
        <f>Y6*0.100006103515625</f>
        <v>1.567095642</v>
      </c>
      <c r="Z4" s="10" t="str">
        <f t="shared" si="4"/>
        <v>0001</v>
      </c>
      <c r="AA4" s="10" t="str">
        <f t="shared" si="5"/>
        <v>10010001</v>
      </c>
      <c r="AB4" s="9">
        <v>4.05078125</v>
      </c>
      <c r="AC4" s="10">
        <f t="array" ref="AC4">SUM(MID(AA4, ROW(INDIRECT("1:" &amp; LEN(AA4))), 1) * 2^(-ROW(INDIRECT("1:" &amp; LEN(AA4)))))</f>
        <v>0.56640625</v>
      </c>
      <c r="AD4" s="9"/>
      <c r="AE4" s="9" t="s">
        <v>6</v>
      </c>
      <c r="AF4" s="9"/>
      <c r="AG4" s="9"/>
    </row>
    <row r="5">
      <c r="A5" s="6" t="str">
        <f t="shared" si="2"/>
        <v>I= 4 [A]</v>
      </c>
      <c r="B5" s="7">
        <v>120.0</v>
      </c>
      <c r="C5" s="7">
        <v>25.0</v>
      </c>
      <c r="D5" s="7">
        <v>22.0</v>
      </c>
      <c r="E5" s="7">
        <v>18.0</v>
      </c>
      <c r="F5" s="7">
        <v>14.0</v>
      </c>
      <c r="G5" s="7">
        <v>12.0</v>
      </c>
      <c r="H5" s="7">
        <v>10.5</v>
      </c>
      <c r="I5" s="7">
        <v>9.5</v>
      </c>
      <c r="J5" s="7">
        <v>8.5</v>
      </c>
      <c r="K5" s="7">
        <v>7.0</v>
      </c>
      <c r="L5" s="8">
        <v>6.0</v>
      </c>
      <c r="M5" s="4">
        <f t="shared" si="3"/>
        <v>3</v>
      </c>
      <c r="P5" s="9" t="s">
        <v>14</v>
      </c>
      <c r="Q5" s="10">
        <f t="shared" si="6"/>
        <v>1</v>
      </c>
      <c r="AB5" s="9"/>
      <c r="AC5" s="9"/>
      <c r="AD5" s="9"/>
      <c r="AE5" s="9">
        <f>AH3-ROUNDDOWN(AH3,0)</f>
        <v>0.255</v>
      </c>
      <c r="AF5" s="9"/>
      <c r="AG5" s="9"/>
      <c r="AH5" s="10" t="str">
        <f>
IF(AE5&gt;=0.5, "1", "0") &amp;
IF(MOD(AE5,0.5)&gt;=0.25, "1", "0") &amp;
IF(MOD(MOD(AE5,0.5),0.25)&gt;=0.125, "1", "0") &amp;
IF(MOD(MOD(MOD(AE5,0.5),0.25),0.125)&gt;=0.0625, "1", "0") &amp;
IF(MOD(MOD(MOD(MOD(AE5,0.5),0.25),0.125),0.0625)&gt;=0.03125, "1", "0") &amp;
IF(MOD(MOD(MOD(MOD(MOD(AE5,0.5),0.25),0.125),0.0625),0.03125)&gt;=0.015625, "1", "0") &amp;
IF(MOD(MOD(MOD(MOD(MOD(MOD(AE5,0.5),0.25),0.125),0.0625),0.03125),0.015625)&gt;=0.0078125, "1", "0") &amp;
IF(MOD(MOD(MOD(MOD(MOD(MOD(MOD(AE5,0.5),0.25),0.125),0.0625),0.03125),0.015625),0.0078125)&gt;=0.00390625, "1", "0")</f>
        <v>01000001</v>
      </c>
    </row>
    <row r="6">
      <c r="A6" s="6" t="str">
        <f t="shared" si="2"/>
        <v>I= 5 [A]</v>
      </c>
      <c r="B6" s="7">
        <v>110.0</v>
      </c>
      <c r="C6" s="7">
        <v>20.0</v>
      </c>
      <c r="D6" s="7">
        <v>18.0</v>
      </c>
      <c r="E6" s="7">
        <v>17.0</v>
      </c>
      <c r="F6" s="7">
        <v>13.0</v>
      </c>
      <c r="G6" s="7">
        <v>11.0</v>
      </c>
      <c r="H6" s="7">
        <v>10.0</v>
      </c>
      <c r="I6" s="7">
        <v>9.0</v>
      </c>
      <c r="J6" s="7">
        <v>7.75</v>
      </c>
      <c r="K6" s="7">
        <v>6.75</v>
      </c>
      <c r="L6" s="8">
        <v>5.5</v>
      </c>
      <c r="M6" s="4">
        <f t="shared" si="3"/>
        <v>4</v>
      </c>
      <c r="P6" s="9" t="s">
        <v>15</v>
      </c>
      <c r="Q6" s="10">
        <f t="shared" ref="Q6:Q7" si="7">Q2 - ROUNDDOWN(Q2,0)</f>
        <v>0.63671875</v>
      </c>
      <c r="V6" s="9" t="s">
        <v>16</v>
      </c>
      <c r="W6" s="10" t="str">
        <f>Z4</f>
        <v>0001</v>
      </c>
      <c r="X6" s="9" t="s">
        <v>17</v>
      </c>
      <c r="Y6" s="9">
        <v>15.67</v>
      </c>
    </row>
    <row r="7">
      <c r="A7" s="6" t="str">
        <f t="shared" si="2"/>
        <v>I= 6 [A]</v>
      </c>
      <c r="B7" s="7">
        <v>95.0</v>
      </c>
      <c r="C7" s="13">
        <v>17.0</v>
      </c>
      <c r="D7" s="7">
        <v>15.0</v>
      </c>
      <c r="E7" s="7">
        <v>14.0</v>
      </c>
      <c r="F7" s="7">
        <v>12.0</v>
      </c>
      <c r="G7" s="7">
        <v>10.0</v>
      </c>
      <c r="H7" s="7">
        <v>9.0</v>
      </c>
      <c r="I7" s="7">
        <v>8.0</v>
      </c>
      <c r="J7" s="7">
        <v>7.25</v>
      </c>
      <c r="K7" s="7">
        <v>6.5</v>
      </c>
      <c r="L7" s="8">
        <v>5.25</v>
      </c>
      <c r="M7" s="4">
        <f t="shared" si="3"/>
        <v>5</v>
      </c>
      <c r="P7" s="9" t="s">
        <v>18</v>
      </c>
      <c r="Q7" s="10">
        <f t="shared" si="7"/>
        <v>0.56640625</v>
      </c>
      <c r="V7" s="9" t="s">
        <v>19</v>
      </c>
      <c r="W7" s="10" t="str">
        <f>AA4</f>
        <v>10010001</v>
      </c>
      <c r="X7" s="9" t="s">
        <v>20</v>
      </c>
      <c r="Y7" s="9">
        <v>2.64</v>
      </c>
    </row>
    <row r="8">
      <c r="A8" s="6" t="str">
        <f t="shared" si="2"/>
        <v>I= 7 [A]</v>
      </c>
      <c r="B8" s="7">
        <v>80.0</v>
      </c>
      <c r="C8" s="13">
        <v>16.0</v>
      </c>
      <c r="D8" s="7">
        <v>14.0</v>
      </c>
      <c r="E8" s="7">
        <v>13.0</v>
      </c>
      <c r="F8" s="7">
        <v>11.0</v>
      </c>
      <c r="G8" s="7">
        <v>9.0</v>
      </c>
      <c r="H8" s="7">
        <v>8.0</v>
      </c>
      <c r="I8" s="7">
        <v>7.5</v>
      </c>
      <c r="J8" s="7">
        <v>7.0</v>
      </c>
      <c r="K8" s="7">
        <v>6.25</v>
      </c>
      <c r="L8" s="8">
        <v>5.125</v>
      </c>
      <c r="M8" s="4">
        <f t="shared" si="3"/>
        <v>6</v>
      </c>
    </row>
    <row r="9">
      <c r="A9" s="6" t="str">
        <f t="shared" si="2"/>
        <v>I= 8 [A]</v>
      </c>
      <c r="B9" s="7">
        <v>71.0</v>
      </c>
      <c r="C9" s="7">
        <v>15.0</v>
      </c>
      <c r="D9" s="7">
        <v>13.0</v>
      </c>
      <c r="E9" s="7">
        <v>12.0</v>
      </c>
      <c r="F9" s="7">
        <v>10.0</v>
      </c>
      <c r="G9" s="7">
        <v>7.5</v>
      </c>
      <c r="H9" s="7">
        <v>6.75</v>
      </c>
      <c r="I9" s="7">
        <v>6.5</v>
      </c>
      <c r="J9" s="7">
        <v>6.25</v>
      </c>
      <c r="K9" s="7">
        <v>6.0</v>
      </c>
      <c r="L9" s="8">
        <v>5.0</v>
      </c>
      <c r="M9" s="4">
        <f t="shared" si="3"/>
        <v>7</v>
      </c>
      <c r="P9" s="12" t="s">
        <v>21</v>
      </c>
      <c r="Q9" s="11">
        <f>1-(T3-T2)</f>
        <v>0.1575164795</v>
      </c>
      <c r="S9" s="10" t="str">
        <f t="shared" ref="S9:S12" si="8">
IF(Q9-rounddown(Q9,0)&gt;=0.5, "1", "0") &amp;
IF(MOD(Q9-rounddown(Q9,0),0.5)&gt;=0.25, "1", "0") &amp;
IF(MOD(MOD(Q9-rounddown(Q9,0),0.5),0.25)&gt;=0.125, "1", "0") &amp;
IF(MOD(MOD(MOD(Q9-rounddown(Q9,0),0.5),0.25),0.125)&gt;=0.0625, "1", "0") &amp;
IF(MOD(MOD(MOD(MOD(Q9-rounddown(Q9,0),0.5),0.25),0.125),0.0625)&gt;=0.03125, "1", "0") &amp;
IF(MOD(MOD(MOD(MOD(MOD(Q9-rounddown(Q9,0),0.5),0.25),0.125),0.0625),0.03125)&gt;=0.015625, "1", "0") &amp;
IF(MOD(MOD(MOD(MOD(MOD(MOD(Q9-rounddown(Q9,0),0.5),0.25),0.125),0.0625),0.03125),0.015625)&gt;=0.0078125, "1", "0") &amp;
IF(MOD(MOD(MOD(MOD(MOD(MOD(MOD(Q9-rounddown(Q9,0),0.5),0.25),0.125),0.0625),0.03125),0.015625),0.0078125)&gt;=0.00390625, "1", "0")</f>
        <v>00101000</v>
      </c>
      <c r="T9" s="10" t="str">
        <f t="shared" ref="T9:T12" si="9">CONCAT(bin2hex(left(S9,4)), bin2hex(RIGHT(S9,4)))</f>
        <v>28</v>
      </c>
      <c r="X9" s="10">
        <f>2^(-14)</f>
        <v>0.00006103515625</v>
      </c>
    </row>
    <row r="10">
      <c r="A10" s="6" t="str">
        <f t="shared" si="2"/>
        <v>I= 9 [A]</v>
      </c>
      <c r="B10" s="7">
        <v>63.0</v>
      </c>
      <c r="C10" s="7">
        <v>14.0</v>
      </c>
      <c r="D10" s="7">
        <v>12.0</v>
      </c>
      <c r="E10" s="7">
        <v>10.0</v>
      </c>
      <c r="F10" s="7">
        <v>9.25</v>
      </c>
      <c r="G10" s="7">
        <v>6.0</v>
      </c>
      <c r="H10" s="7">
        <v>5.75</v>
      </c>
      <c r="I10" s="7">
        <v>5.5</v>
      </c>
      <c r="J10" s="7">
        <v>5.375</v>
      </c>
      <c r="K10" s="7">
        <v>5.125</v>
      </c>
      <c r="L10" s="8">
        <v>4.9</v>
      </c>
      <c r="M10" s="4">
        <f t="shared" si="3"/>
        <v>8</v>
      </c>
      <c r="P10" s="12" t="s">
        <v>22</v>
      </c>
      <c r="Q10" s="10">
        <f>Q7-T2</f>
        <v>0.2057647705</v>
      </c>
      <c r="R10" s="10">
        <f>Q10*2^(16)</f>
        <v>13485</v>
      </c>
      <c r="S10" s="10" t="str">
        <f t="shared" si="8"/>
        <v>00110100</v>
      </c>
      <c r="T10" s="10" t="str">
        <f t="shared" si="9"/>
        <v>34</v>
      </c>
    </row>
    <row r="11">
      <c r="A11" s="6" t="str">
        <f t="shared" si="2"/>
        <v>I= 10 [A]</v>
      </c>
      <c r="B11" s="7">
        <v>54.0</v>
      </c>
      <c r="C11" s="7">
        <v>13.0</v>
      </c>
      <c r="D11" s="7">
        <v>11.0</v>
      </c>
      <c r="E11" s="7">
        <v>9.5</v>
      </c>
      <c r="F11" s="7">
        <v>9.0</v>
      </c>
      <c r="G11" s="7">
        <v>5.0</v>
      </c>
      <c r="H11" s="7">
        <v>4.75</v>
      </c>
      <c r="I11" s="7">
        <v>4.5</v>
      </c>
      <c r="J11" s="7">
        <v>4.25</v>
      </c>
      <c r="K11" s="7">
        <v>4.125</v>
      </c>
      <c r="L11" s="8">
        <v>4.0</v>
      </c>
      <c r="M11" s="4">
        <f t="shared" si="3"/>
        <v>9</v>
      </c>
      <c r="P11" s="12" t="s">
        <v>23</v>
      </c>
      <c r="Q11" s="10">
        <f>Q6-T2</f>
        <v>0.2760772705</v>
      </c>
      <c r="S11" s="10" t="str">
        <f t="shared" si="8"/>
        <v>01000110</v>
      </c>
      <c r="T11" s="10" t="str">
        <f t="shared" si="9"/>
        <v>46</v>
      </c>
    </row>
    <row r="12">
      <c r="A12" s="6" t="str">
        <f t="shared" si="2"/>
        <v>I= 11 [A]</v>
      </c>
      <c r="B12" s="7">
        <v>47.0</v>
      </c>
      <c r="C12" s="7">
        <v>12.5</v>
      </c>
      <c r="D12" s="7">
        <v>10.5</v>
      </c>
      <c r="E12" s="7">
        <v>9.0</v>
      </c>
      <c r="F12" s="7">
        <v>8.0</v>
      </c>
      <c r="G12" s="7">
        <v>4.5</v>
      </c>
      <c r="H12" s="7">
        <v>4.375</v>
      </c>
      <c r="I12" s="7">
        <v>4.25</v>
      </c>
      <c r="J12" s="7">
        <v>4.15</v>
      </c>
      <c r="K12" s="7">
        <v>4.0</v>
      </c>
      <c r="L12" s="8">
        <v>3.875</v>
      </c>
      <c r="M12" s="4">
        <f t="shared" si="3"/>
        <v>10</v>
      </c>
      <c r="P12" s="12" t="s">
        <v>24</v>
      </c>
      <c r="Q12" s="10">
        <f>T2</f>
        <v>0.3606414795</v>
      </c>
      <c r="S12" s="10" t="str">
        <f t="shared" si="8"/>
        <v>01011100</v>
      </c>
      <c r="T12" s="10" t="str">
        <f t="shared" si="9"/>
        <v>5C</v>
      </c>
      <c r="U12" s="10" t="str">
        <f>"0101"</f>
        <v>0101</v>
      </c>
    </row>
    <row r="13">
      <c r="A13" s="6" t="str">
        <f t="shared" si="2"/>
        <v>I= 12 [A]</v>
      </c>
      <c r="B13" s="7">
        <v>41.0</v>
      </c>
      <c r="C13" s="7">
        <v>12.0</v>
      </c>
      <c r="D13" s="7">
        <v>10.0</v>
      </c>
      <c r="E13" s="7">
        <v>8.0</v>
      </c>
      <c r="F13" s="7">
        <v>7.0</v>
      </c>
      <c r="G13" s="7">
        <v>4.0</v>
      </c>
      <c r="H13" s="7">
        <v>3.875</v>
      </c>
      <c r="I13" s="7">
        <v>3.75</v>
      </c>
      <c r="J13" s="7">
        <v>3.625</v>
      </c>
      <c r="K13" s="7">
        <v>3.5</v>
      </c>
      <c r="L13" s="8">
        <v>3.4</v>
      </c>
      <c r="M13" s="4">
        <f t="shared" si="3"/>
        <v>11</v>
      </c>
      <c r="T13" s="10">
        <f t="array" ref="T13">SUM(MID(U12, ROW(INDIRECT("1:" &amp; LEN(U12))), 1) * 2^(-ROW(INDIRECT("1:" &amp; LEN(U12)))))</f>
        <v>0.3125</v>
      </c>
    </row>
    <row r="14">
      <c r="A14" s="6" t="str">
        <f t="shared" si="2"/>
        <v>I= 13 [A]</v>
      </c>
      <c r="B14" s="7">
        <v>36.0</v>
      </c>
      <c r="C14" s="7">
        <v>11.0</v>
      </c>
      <c r="D14" s="7">
        <v>9.5</v>
      </c>
      <c r="E14" s="7">
        <v>7.5</v>
      </c>
      <c r="F14" s="7">
        <v>6.0</v>
      </c>
      <c r="G14" s="7">
        <v>3.75</v>
      </c>
      <c r="H14" s="7">
        <v>3.5</v>
      </c>
      <c r="I14" s="7">
        <v>3.375</v>
      </c>
      <c r="J14" s="7">
        <v>3.125</v>
      </c>
      <c r="K14" s="7">
        <v>3.0</v>
      </c>
      <c r="L14" s="8">
        <v>2.9</v>
      </c>
      <c r="M14" s="4">
        <f t="shared" si="3"/>
        <v>12</v>
      </c>
      <c r="P14" s="12" t="s">
        <v>25</v>
      </c>
      <c r="Q14" s="10">
        <f t="array" ref="Q14">INDEX(B2:L17,ROUNDDOWN(Q2,0)+1,ROUNDDOWN(Q3,0)+1)</f>
        <v>40</v>
      </c>
    </row>
    <row r="15">
      <c r="A15" s="6" t="str">
        <f t="shared" si="2"/>
        <v>I= 14 [A]</v>
      </c>
      <c r="B15" s="7">
        <v>33.0</v>
      </c>
      <c r="C15" s="7">
        <v>10.0</v>
      </c>
      <c r="D15" s="7">
        <v>9.0</v>
      </c>
      <c r="E15" s="7">
        <v>7.0</v>
      </c>
      <c r="F15" s="7">
        <v>5.5</v>
      </c>
      <c r="G15" s="7">
        <v>3.25</v>
      </c>
      <c r="H15" s="7">
        <v>3.125</v>
      </c>
      <c r="I15" s="7">
        <v>3.0</v>
      </c>
      <c r="J15" s="7">
        <v>2.9</v>
      </c>
      <c r="K15" s="7">
        <v>2.88</v>
      </c>
      <c r="L15" s="8">
        <v>2.8</v>
      </c>
      <c r="M15" s="4">
        <f t="shared" si="3"/>
        <v>13</v>
      </c>
      <c r="P15" s="12" t="s">
        <v>26</v>
      </c>
      <c r="Q15" s="10">
        <f t="array" ref="Q15">INDEX(B2:L17,ROUNDDOWN(Q2,0)+1,min(ROUNDDOWN(Q3,0)+2,11))</f>
        <v>27</v>
      </c>
    </row>
    <row r="16">
      <c r="A16" s="6" t="str">
        <f t="shared" si="2"/>
        <v>I= 15 [A]</v>
      </c>
      <c r="B16" s="7">
        <v>30.0</v>
      </c>
      <c r="C16" s="7">
        <v>9.0</v>
      </c>
      <c r="D16" s="7">
        <v>8.5</v>
      </c>
      <c r="E16" s="7">
        <v>6.5</v>
      </c>
      <c r="F16" s="7">
        <v>5.0</v>
      </c>
      <c r="G16" s="7">
        <v>3.0</v>
      </c>
      <c r="H16" s="7">
        <v>2.8</v>
      </c>
      <c r="I16" s="7">
        <v>2.75</v>
      </c>
      <c r="J16" s="7">
        <v>2.7</v>
      </c>
      <c r="K16" s="7">
        <v>2.67</v>
      </c>
      <c r="L16" s="8">
        <v>2.6</v>
      </c>
      <c r="M16" s="4">
        <f t="shared" si="3"/>
        <v>14</v>
      </c>
      <c r="P16" s="12" t="s">
        <v>27</v>
      </c>
      <c r="Q16" s="10">
        <f t="array" ref="Q16">INDEX(B2:L17,min(ROUNDDOWN(Q2,0)+2,16),ROUNDDOWN(Q3,0)+1)</f>
        <v>32</v>
      </c>
    </row>
    <row r="17">
      <c r="A17" s="6" t="str">
        <f t="shared" si="2"/>
        <v>I= 16 [A]</v>
      </c>
      <c r="B17" s="14">
        <v>28.0</v>
      </c>
      <c r="C17" s="14">
        <v>7.0</v>
      </c>
      <c r="D17" s="14">
        <v>6.8</v>
      </c>
      <c r="E17" s="14">
        <v>6.3</v>
      </c>
      <c r="F17" s="14">
        <v>4.9</v>
      </c>
      <c r="G17" s="14">
        <v>2.75</v>
      </c>
      <c r="H17" s="14">
        <v>2.6</v>
      </c>
      <c r="I17" s="14">
        <v>2.55</v>
      </c>
      <c r="J17" s="14">
        <v>2.5</v>
      </c>
      <c r="K17" s="14">
        <v>2.45</v>
      </c>
      <c r="L17" s="15">
        <v>2.4</v>
      </c>
      <c r="M17" s="4">
        <f t="shared" si="3"/>
        <v>15</v>
      </c>
      <c r="P17" s="12" t="s">
        <v>28</v>
      </c>
      <c r="Q17" s="10">
        <f t="array" ref="Q17">INDEX(B2:L17,min(ROUNDDOWN(Q2,0)+2,16),min(ROUNDDOWN(Q3,0)+2,11))</f>
        <v>24</v>
      </c>
    </row>
    <row r="18">
      <c r="B18" s="4">
        <v>0.0</v>
      </c>
      <c r="C18" s="4">
        <f t="shared" ref="C18:L18" si="10">B18+1</f>
        <v>1</v>
      </c>
      <c r="D18" s="4">
        <f t="shared" si="10"/>
        <v>2</v>
      </c>
      <c r="E18" s="4">
        <f t="shared" si="10"/>
        <v>3</v>
      </c>
      <c r="F18" s="4">
        <f t="shared" si="10"/>
        <v>4</v>
      </c>
      <c r="G18" s="4">
        <f t="shared" si="10"/>
        <v>5</v>
      </c>
      <c r="H18" s="4">
        <f t="shared" si="10"/>
        <v>6</v>
      </c>
      <c r="I18" s="4">
        <f t="shared" si="10"/>
        <v>7</v>
      </c>
      <c r="J18" s="4">
        <f t="shared" si="10"/>
        <v>8</v>
      </c>
      <c r="K18" s="4">
        <f t="shared" si="10"/>
        <v>9</v>
      </c>
      <c r="L18" s="4">
        <f t="shared" si="10"/>
        <v>10</v>
      </c>
      <c r="M18" s="4"/>
      <c r="N18" s="4"/>
      <c r="O18" s="4"/>
      <c r="P18" s="4"/>
      <c r="Q18" s="4"/>
    </row>
    <row r="19">
      <c r="M19" s="5"/>
      <c r="P19" s="9" t="s">
        <v>29</v>
      </c>
      <c r="Q19" s="16">
        <f>Q9*Q14+Q15*Q10+Q16*Q11+Q17*Q12</f>
        <v>29.34617615</v>
      </c>
      <c r="T19" s="9" t="s">
        <v>30</v>
      </c>
      <c r="U19" s="10">
        <f>Q3*10</f>
        <v>15.6640625</v>
      </c>
    </row>
    <row r="20">
      <c r="H20" s="10">
        <f>G17*0.25+H17*0.75</f>
        <v>2.6375</v>
      </c>
      <c r="M20" s="5"/>
      <c r="P20" s="9" t="s">
        <v>31</v>
      </c>
      <c r="Q20" s="10" t="str">
        <f>DEC2BIN(Q19)</f>
        <v>11101</v>
      </c>
    </row>
    <row r="21">
      <c r="M21" s="5"/>
      <c r="V21" s="9" t="s">
        <v>21</v>
      </c>
      <c r="W21" s="11">
        <f>IF(T3&gt;=1,T2-(T3-1),1-(T3-T2))</f>
        <v>0.1575164795</v>
      </c>
    </row>
    <row r="22">
      <c r="M22" s="5"/>
      <c r="P22" s="10" t="str">
        <f>DEC2HEX(Q19)</f>
        <v>1D</v>
      </c>
      <c r="V22" s="9" t="s">
        <v>22</v>
      </c>
      <c r="W22" s="10">
        <f>Q7-T2</f>
        <v>0.2057647705</v>
      </c>
    </row>
    <row r="23">
      <c r="D23" s="9" t="s">
        <v>32</v>
      </c>
      <c r="E23" s="10">
        <f>D3</f>
        <v>27</v>
      </c>
      <c r="F23" s="10" t="str">
        <f t="shared" ref="F23:F26" si="11">DEC2HEX(E23)</f>
        <v>1B</v>
      </c>
      <c r="G23" s="9" t="s">
        <v>25</v>
      </c>
      <c r="M23" s="5"/>
      <c r="R23" s="9" t="s">
        <v>33</v>
      </c>
      <c r="S23" s="10" t="str">
        <f>"0111010000000000"</f>
        <v>0111010000000000</v>
      </c>
      <c r="V23" s="9" t="s">
        <v>23</v>
      </c>
      <c r="W23" s="10">
        <f>Q6-T2</f>
        <v>0.2760772705</v>
      </c>
    </row>
    <row r="24">
      <c r="D24" s="9" t="s">
        <v>34</v>
      </c>
      <c r="E24" s="10">
        <f>E3</f>
        <v>20</v>
      </c>
      <c r="F24" s="10" t="str">
        <f t="shared" si="11"/>
        <v>14</v>
      </c>
      <c r="G24" s="9" t="s">
        <v>26</v>
      </c>
      <c r="M24" s="5"/>
      <c r="R24" s="9" t="s">
        <v>35</v>
      </c>
      <c r="S24" s="10">
        <f t="array" ref="S24">SUM(MID(S23, ROW(INDIRECT("1:" &amp; LEN(S23))), 1) * 2^(-ROW(INDIRECT("1:" &amp; LEN(S23)))))</f>
        <v>0.453125</v>
      </c>
      <c r="V24" s="9" t="s">
        <v>24</v>
      </c>
      <c r="W24" s="10">
        <f>T2</f>
        <v>0.3606414795</v>
      </c>
      <c r="AH24" s="10">
        <f>2^(-6)</f>
        <v>0.015625</v>
      </c>
    </row>
    <row r="25">
      <c r="D25" s="9" t="s">
        <v>36</v>
      </c>
      <c r="E25" s="10">
        <f>D4</f>
        <v>24</v>
      </c>
      <c r="F25" s="10" t="str">
        <f t="shared" si="11"/>
        <v>18</v>
      </c>
      <c r="G25" s="9" t="s">
        <v>27</v>
      </c>
      <c r="M25" s="5"/>
      <c r="R25" s="9" t="s">
        <v>37</v>
      </c>
      <c r="S25" s="10" t="str">
        <f>"1000110000000000"</f>
        <v>1000110000000000</v>
      </c>
      <c r="Y25" s="10">
        <f>mod(0.2664,0.25)</f>
        <v>0.0164</v>
      </c>
    </row>
    <row r="26">
      <c r="D26" s="9" t="s">
        <v>38</v>
      </c>
      <c r="E26" s="10">
        <f>E4</f>
        <v>19</v>
      </c>
      <c r="F26" s="10" t="str">
        <f t="shared" si="11"/>
        <v>13</v>
      </c>
      <c r="G26" s="9" t="s">
        <v>28</v>
      </c>
      <c r="M26" s="5"/>
      <c r="R26" s="9" t="s">
        <v>39</v>
      </c>
      <c r="S26" s="10">
        <f t="array" ref="S26">SUM(MID(S25, ROW(INDIRECT("1:" &amp; LEN(S25))), 1) * 2^(-ROW(INDIRECT("1:" &amp; LEN(S25)))))</f>
        <v>0.546875</v>
      </c>
    </row>
    <row r="27">
      <c r="I27" s="10">
        <f>5*11+0</f>
        <v>55</v>
      </c>
      <c r="M27" s="5"/>
      <c r="AA27" s="10" t="str">
        <f>"1100"</f>
        <v>1100</v>
      </c>
    </row>
    <row r="28">
      <c r="M28" s="5"/>
      <c r="AA28" s="10">
        <f>AA27+"0100"</f>
        <v>1200</v>
      </c>
      <c r="AJ28" s="10">
        <f>2^(-14)</f>
        <v>0.00006103515625</v>
      </c>
    </row>
    <row r="29">
      <c r="F29" s="9">
        <v>110010.0</v>
      </c>
      <c r="M29" s="5"/>
    </row>
    <row r="30">
      <c r="M30" s="5"/>
      <c r="R30" s="9" t="s">
        <v>40</v>
      </c>
      <c r="S30" s="10" t="str">
        <f>"00001111110100000000000000000000"</f>
        <v>00001111110100000000000000000000</v>
      </c>
    </row>
    <row r="31">
      <c r="G31" s="10" t="str">
        <f>DEC2HEX(E23)</f>
        <v>1B</v>
      </c>
      <c r="M31" s="5"/>
      <c r="R31" s="9" t="s">
        <v>41</v>
      </c>
      <c r="S31" s="10">
        <f t="array" ref="S31">SUM(MID(S30, ROW(INDIRECT("1:" &amp; LEN(S30))), 1) * 2^(-ROW(INDIRECT("1:" &amp; LEN(S30)))))</f>
        <v>0.06176757813</v>
      </c>
    </row>
    <row r="32">
      <c r="M32" s="5"/>
    </row>
    <row r="33">
      <c r="M33" s="5"/>
      <c r="R33" s="9" t="s">
        <v>42</v>
      </c>
      <c r="S33" s="10" t="str">
        <f>left(S30,16)</f>
        <v>0000111111010000</v>
      </c>
    </row>
    <row r="34">
      <c r="M34" s="5"/>
      <c r="R34" s="9" t="s">
        <v>43</v>
      </c>
      <c r="S34" s="10" t="str">
        <f>left(S33,8)</f>
        <v>00001111</v>
      </c>
    </row>
    <row r="35">
      <c r="M35" s="5"/>
      <c r="R35" s="9" t="s">
        <v>44</v>
      </c>
      <c r="S35" s="10" t="str">
        <f>RIGHT(S33,8)</f>
        <v>11010000</v>
      </c>
    </row>
    <row r="36">
      <c r="M36" s="5"/>
      <c r="R36" s="9" t="s">
        <v>45</v>
      </c>
      <c r="S36" s="10">
        <f t="array" ref="S36">BIN2DEC(S34)+SUM(MID(S35, ROW(INDIRECT("1:" &amp; LEN(S35))), 1) * 2^(-ROW(INDIRECT("1:" &amp; LEN(S35)))))</f>
        <v>15.8125</v>
      </c>
    </row>
    <row r="37">
      <c r="M37" s="5"/>
    </row>
    <row r="38">
      <c r="B38" s="10">
        <f t="array" ref="B38:B53">INDEX(A2:L17, INT(E38/ 11), MOD(E38, 11) + 1+1)</f>
        <v>15</v>
      </c>
      <c r="E38" s="9">
        <v>5.0</v>
      </c>
      <c r="G38" s="12" t="s">
        <v>46</v>
      </c>
      <c r="H38" s="9">
        <v>22.0</v>
      </c>
      <c r="J38" s="9" t="s">
        <v>47</v>
      </c>
      <c r="M38" s="5"/>
    </row>
    <row r="39">
      <c r="B39" s="10">
        <v>14.0</v>
      </c>
      <c r="G39" s="12" t="s">
        <v>48</v>
      </c>
      <c r="H39" s="10">
        <f t="array" ref="H39">INDEX(A2:L17, INT(H38 / 11) + 1, MOD(H38, 11) + 2)</f>
        <v>123</v>
      </c>
      <c r="I39" s="9" t="s">
        <v>49</v>
      </c>
      <c r="J39" s="10" t="str">
        <f>DEC2HEX(H39)</f>
        <v>7B</v>
      </c>
      <c r="M39" s="5"/>
    </row>
    <row r="40">
      <c r="B40" s="10">
        <v>13.0</v>
      </c>
      <c r="G40" s="12" t="s">
        <v>50</v>
      </c>
      <c r="H40" s="10" t="str">
        <f>SUBSTITUTE(ADDRESS(1, MOD(H38, 11) + 2, 4), "1", "")</f>
        <v>B</v>
      </c>
      <c r="I40" s="9" t="s">
        <v>27</v>
      </c>
      <c r="M40" s="5"/>
      <c r="R40" s="9" t="s">
        <v>51</v>
      </c>
      <c r="S40" s="10" t="str">
        <f>"0001001000000000"</f>
        <v>0001001000000000</v>
      </c>
      <c r="V40" s="10" t="str">
        <f>"1192"</f>
        <v>1192</v>
      </c>
    </row>
    <row r="41">
      <c r="B41" s="10">
        <v>12.0</v>
      </c>
      <c r="G41" s="12" t="s">
        <v>52</v>
      </c>
      <c r="H41" s="10">
        <f>INT(H38/11)+2</f>
        <v>4</v>
      </c>
      <c r="M41" s="5"/>
      <c r="R41" s="9" t="s">
        <v>53</v>
      </c>
      <c r="S41" s="10" t="str">
        <f>left(S40,8)</f>
        <v>00010010</v>
      </c>
      <c r="V41" s="10" t="str">
        <f>left(V40,3)</f>
        <v>119</v>
      </c>
    </row>
    <row r="42">
      <c r="B42" s="10">
        <v>11.0</v>
      </c>
      <c r="M42" s="5"/>
      <c r="R42" s="9" t="s">
        <v>54</v>
      </c>
      <c r="S42" s="10">
        <f>BIN2DEC(S41)</f>
        <v>18</v>
      </c>
    </row>
    <row r="43">
      <c r="B43" s="10">
        <v>10.0</v>
      </c>
      <c r="M43" s="5"/>
    </row>
    <row r="44">
      <c r="B44" s="10">
        <v>9.0</v>
      </c>
      <c r="M44" s="5"/>
      <c r="R44" s="9" t="s">
        <v>55</v>
      </c>
      <c r="S44" s="10" t="str">
        <f>"0000111000000000"</f>
        <v>0000111000000000</v>
      </c>
    </row>
    <row r="45">
      <c r="B45" s="10">
        <v>7.5</v>
      </c>
      <c r="J45" s="10" t="str">
        <f>COLUMN("L")</f>
        <v>#N/A</v>
      </c>
      <c r="M45" s="5"/>
      <c r="R45" s="9" t="s">
        <v>56</v>
      </c>
      <c r="S45" s="10" t="str">
        <f>left(S44,8)</f>
        <v>00001110</v>
      </c>
    </row>
    <row r="46">
      <c r="B46" s="10">
        <v>6.0</v>
      </c>
      <c r="M46" s="5"/>
      <c r="R46" s="9" t="s">
        <v>57</v>
      </c>
      <c r="S46" s="10">
        <f>BIN2DEC(S45)</f>
        <v>14</v>
      </c>
    </row>
    <row r="47">
      <c r="B47" s="10">
        <v>5.0</v>
      </c>
      <c r="M47" s="5"/>
    </row>
    <row r="48">
      <c r="B48" s="10">
        <v>4.5</v>
      </c>
      <c r="M48" s="5"/>
      <c r="R48" s="9" t="s">
        <v>58</v>
      </c>
      <c r="S48" s="10" t="str">
        <f>"0001000100000000"</f>
        <v>0001000100000000</v>
      </c>
    </row>
    <row r="49">
      <c r="B49" s="10">
        <v>4.0</v>
      </c>
      <c r="M49" s="5"/>
      <c r="R49" s="9" t="s">
        <v>59</v>
      </c>
      <c r="S49" s="10" t="str">
        <f>LEFT(S48,8)</f>
        <v>00010001</v>
      </c>
    </row>
    <row r="50">
      <c r="B50" s="10">
        <v>3.75</v>
      </c>
      <c r="M50" s="5"/>
      <c r="R50" s="9" t="s">
        <v>60</v>
      </c>
      <c r="S50" s="10">
        <f>BIN2DEC(S49)</f>
        <v>17</v>
      </c>
    </row>
    <row r="51">
      <c r="B51" s="10">
        <v>3.25</v>
      </c>
      <c r="M51" s="5"/>
    </row>
    <row r="52">
      <c r="B52" s="10">
        <v>3.0</v>
      </c>
      <c r="K52" s="9" t="s">
        <v>61</v>
      </c>
      <c r="L52" s="17">
        <v>1.01E10</v>
      </c>
      <c r="M52" s="5"/>
    </row>
    <row r="53">
      <c r="B53" s="10">
        <v>2.75</v>
      </c>
      <c r="K53" s="9" t="s">
        <v>62</v>
      </c>
      <c r="L53" s="9">
        <v>1.0101E10</v>
      </c>
      <c r="M53" s="5"/>
    </row>
    <row r="54">
      <c r="M54" s="5"/>
      <c r="S54" s="12" t="s">
        <v>63</v>
      </c>
      <c r="T54" s="12" t="s">
        <v>64</v>
      </c>
      <c r="U54" s="12" t="s">
        <v>65</v>
      </c>
      <c r="V54" s="12" t="s">
        <v>66</v>
      </c>
      <c r="W54" s="12" t="s">
        <v>67</v>
      </c>
      <c r="X54" s="12" t="s">
        <v>68</v>
      </c>
      <c r="AI54" s="9" t="s">
        <v>69</v>
      </c>
    </row>
    <row r="55">
      <c r="M55" s="5"/>
      <c r="S55" s="9" t="str">
        <f t="shared" ref="S55:T55" si="12">"00000000"</f>
        <v>00000000</v>
      </c>
      <c r="T55" s="9" t="str">
        <f t="shared" si="12"/>
        <v>00000000</v>
      </c>
      <c r="U55" s="10" t="b">
        <f>IFERROR(__xludf.DUMMYFUNCTION("AND(REGEXMATCH($S55,""1""),REGEXMATCH($T55,""1""))"),FALSE)</f>
        <v>0</v>
      </c>
    </row>
    <row r="56">
      <c r="M56" s="5"/>
      <c r="O56" s="9">
        <v>0.0</v>
      </c>
      <c r="P56" s="9">
        <v>0.0</v>
      </c>
      <c r="S56" s="10" t="str">
        <f>S55</f>
        <v>00000000</v>
      </c>
      <c r="T56" s="10" t="str">
        <f>"01010000"</f>
        <v>01010000</v>
      </c>
      <c r="U56" s="10" t="b">
        <f>IFERROR(__xludf.DUMMYFUNCTION("AND(REGEXMATCH($S56,""1""),REGEXMATCH($T56,""1""))"),FALSE)</f>
        <v>0</v>
      </c>
      <c r="Z56" s="9" t="s">
        <v>10</v>
      </c>
      <c r="AA56" s="9"/>
      <c r="AB56" s="9"/>
      <c r="AC56" s="9"/>
      <c r="AD56" s="9"/>
      <c r="AE56" s="9" t="s">
        <v>6</v>
      </c>
      <c r="AF56" s="9"/>
      <c r="AG56" s="9"/>
      <c r="AH56" s="12" t="str">
        <f>"(7)"</f>
        <v>(7)</v>
      </c>
      <c r="AI56" s="12" t="str">
        <f t="shared" ref="AI56:AO56" si="13">TEXTJOIN("", TRUE, "(", TEXT((35-column()),0), ")")</f>
        <v>(0)</v>
      </c>
      <c r="AJ56" s="12" t="str">
        <f t="shared" si="13"/>
        <v>(-1)</v>
      </c>
      <c r="AK56" s="12" t="str">
        <f t="shared" si="13"/>
        <v>(-2)</v>
      </c>
      <c r="AL56" s="12" t="str">
        <f t="shared" si="13"/>
        <v>(-3)</v>
      </c>
      <c r="AM56" s="12" t="str">
        <f t="shared" si="13"/>
        <v>(-4)</v>
      </c>
      <c r="AN56" s="12" t="str">
        <f t="shared" si="13"/>
        <v>(-5)</v>
      </c>
      <c r="AO56" s="12" t="str">
        <f t="shared" si="13"/>
        <v>(-6)</v>
      </c>
    </row>
    <row r="57">
      <c r="M57" s="5"/>
      <c r="S57" s="10" t="str">
        <f>"00010010"</f>
        <v>00010010</v>
      </c>
      <c r="T57" s="10" t="str">
        <f t="shared" ref="T57:T58" si="14">T55</f>
        <v>00000000</v>
      </c>
      <c r="U57" s="10" t="b">
        <f>IFERROR(__xludf.DUMMYFUNCTION("AND(REGEXMATCH($S57,""1""),REGEXMATCH($T57,""1""))"),FALSE)</f>
        <v>0</v>
      </c>
      <c r="Y57" s="9" t="s">
        <v>67</v>
      </c>
      <c r="Z57" s="10" t="str">
        <f>"01000001"</f>
        <v>01000001</v>
      </c>
      <c r="AB57" s="9"/>
      <c r="AC57" s="9"/>
      <c r="AD57" s="9"/>
      <c r="AE57" s="9" t="str">
        <f>"10100101"</f>
        <v>10100101</v>
      </c>
      <c r="AF57" s="9"/>
      <c r="AG57" s="9"/>
      <c r="AH57" s="10" t="b">
        <f>xor(left(AE57)="1",left(Z57)="1")</f>
        <v>1</v>
      </c>
      <c r="AI57" s="10" t="b">
        <f>xor(mid(AE57,column()-27,1)="1",mid(Z57,column()-27,1)="1")</f>
        <v>0</v>
      </c>
      <c r="AJ57" s="10" t="b">
        <f>xor(mid(AE57,column()-27,1)="1",mid(Z57,column()-27,1)="1")</f>
        <v>0</v>
      </c>
      <c r="AK57" s="10" t="b">
        <f>xor(mid(AE57,column()-27,1)="1",mid(Z57,column()-27,1)="1")</f>
        <v>0</v>
      </c>
      <c r="AL57" s="10" t="b">
        <f>xor(mid(AE57,column()-27,1)="1",mid(Z57,column()-27,1)="1")</f>
        <v>0</v>
      </c>
      <c r="AM57" s="10" t="b">
        <f>xor(mid(AE57,column()-27,1)="1",mid(Z57,column()-27,1)="1")</f>
        <v>0</v>
      </c>
      <c r="AN57" s="10" t="b">
        <f>xor(mid(AE57,column()-27,1)="1",mid(Z57,column()-27,1)="1")</f>
        <v>0</v>
      </c>
      <c r="AO57" s="10" t="b">
        <f>xor(mid(AE57,column()-27,1)="1",mid(Z57,column()-27,1)="1")</f>
        <v>0</v>
      </c>
    </row>
    <row r="58">
      <c r="M58" s="5"/>
      <c r="S58" s="10" t="str">
        <f>S57</f>
        <v>00010010</v>
      </c>
      <c r="T58" s="10" t="str">
        <f t="shared" si="14"/>
        <v>01010000</v>
      </c>
      <c r="U58" s="10" t="b">
        <f>IFERROR(__xludf.DUMMYFUNCTION("AND(REGEXMATCH($S58,""1""),REGEXMATCH($T58,""1""))"),TRUE)</f>
        <v>1</v>
      </c>
      <c r="Y58" s="9" t="s">
        <v>65</v>
      </c>
      <c r="AH58" s="10" t="b">
        <f>AND(left(AE57)="1",left(Z57)="1")</f>
        <v>0</v>
      </c>
      <c r="AI58" s="10" t="b">
        <f>AND(mid(AE57,column()-27,1)="1",mid(Z57,column()-27,1)="1")</f>
        <v>1</v>
      </c>
      <c r="AJ58" s="10" t="b">
        <f>AND(mid(AE57,column()-27,1)="1",mid(Z57,column()-27,1)="1")</f>
        <v>0</v>
      </c>
      <c r="AK58" s="10" t="b">
        <f>AND(mid(AE57,column()-27,1)="1",mid(Z57,column()-27,1)="1")</f>
        <v>0</v>
      </c>
      <c r="AL58" s="10" t="b">
        <f>AND(mid(AE57,column()-27,1)="1",mid(Z57,column()-27,1)="1")</f>
        <v>0</v>
      </c>
      <c r="AM58" s="10" t="b">
        <f>AND(mid(AE57,column()-27,1)="1",mid(Z57,column()-27,1)="1")</f>
        <v>0</v>
      </c>
      <c r="AN58" s="10" t="b">
        <f>AND(mid(AE57,column()-27,1)="1",mid(Z57,column()-27,1)="1")</f>
        <v>0</v>
      </c>
      <c r="AO58" s="10" t="b">
        <f>AND(right(AE57)="1",right(Z57)="1")</f>
        <v>1</v>
      </c>
    </row>
    <row r="59">
      <c r="M59" s="5"/>
    </row>
    <row r="60">
      <c r="M60" s="5"/>
    </row>
    <row r="61">
      <c r="M61" s="5"/>
      <c r="Z61" s="9" t="s">
        <v>10</v>
      </c>
      <c r="AA61" s="9"/>
      <c r="AB61" s="9"/>
      <c r="AC61" s="9"/>
      <c r="AD61" s="9"/>
      <c r="AE61" s="9" t="s">
        <v>6</v>
      </c>
      <c r="AF61" s="9"/>
      <c r="AG61" s="9"/>
      <c r="AH61" s="12" t="str">
        <f>"(7)"</f>
        <v>(7)</v>
      </c>
      <c r="AI61" s="12" t="str">
        <f t="shared" ref="AI61:AO61" si="15">TEXTJOIN("", TRUE, "(", TEXT((35-column()),0), ")")</f>
        <v>(0)</v>
      </c>
      <c r="AJ61" s="12" t="str">
        <f t="shared" si="15"/>
        <v>(-1)</v>
      </c>
      <c r="AK61" s="12" t="str">
        <f t="shared" si="15"/>
        <v>(-2)</v>
      </c>
      <c r="AL61" s="12" t="str">
        <f t="shared" si="15"/>
        <v>(-3)</v>
      </c>
      <c r="AM61" s="12" t="str">
        <f t="shared" si="15"/>
        <v>(-4)</v>
      </c>
      <c r="AN61" s="12" t="str">
        <f t="shared" si="15"/>
        <v>(-5)</v>
      </c>
      <c r="AO61" s="12" t="str">
        <f t="shared" si="15"/>
        <v>(-6)</v>
      </c>
    </row>
    <row r="62">
      <c r="M62" s="5"/>
      <c r="Y62" s="9" t="s">
        <v>67</v>
      </c>
      <c r="Z62" s="10" t="str">
        <f>"01100001"</f>
        <v>01100001</v>
      </c>
      <c r="AB62" s="9"/>
      <c r="AC62" s="9"/>
      <c r="AD62" s="9"/>
      <c r="AE62" s="9" t="str">
        <f>"10100101"</f>
        <v>10100101</v>
      </c>
      <c r="AF62" s="9"/>
      <c r="AG62" s="9"/>
      <c r="AH62" s="10" t="b">
        <f>xor(left(AE62)="1",left(Z62)="1")</f>
        <v>1</v>
      </c>
      <c r="AI62" s="10" t="b">
        <f>xor(mid(AE62,column()-27,1)="1",mid(Z62,column()-27,1)="1")</f>
        <v>0</v>
      </c>
      <c r="AJ62" s="10" t="b">
        <f>xor(mid(AE62,column()-27,1)="1",mid(Z62,column()-27,1)="1")</f>
        <v>0</v>
      </c>
      <c r="AK62" s="10" t="b">
        <f>xor(mid(AE62,column()-27,1)="1",mid(Z62,column()-27,1)="1")</f>
        <v>0</v>
      </c>
      <c r="AL62" s="10" t="b">
        <f>xor(mid(AE62,column()-27,1)="1",mid(Z62,column()-27,1)="1")</f>
        <v>0</v>
      </c>
      <c r="AM62" s="10" t="b">
        <f>xor(mid(AE62,column()-27,1)="1",mid(Z62,column()-27,1)="1")</f>
        <v>0</v>
      </c>
      <c r="AN62" s="10" t="b">
        <f>xor(mid(AE62,column()-27,1)="1",mid(Z62,column()-27,1)="1")</f>
        <v>0</v>
      </c>
      <c r="AO62" s="10" t="b">
        <f>xor(mid(AE62,column()-27,1)="1",mid(Z62,column()-27,1)="1")</f>
        <v>0</v>
      </c>
    </row>
    <row r="63">
      <c r="M63" s="5"/>
      <c r="Y63" s="9" t="s">
        <v>65</v>
      </c>
      <c r="AH63" s="10" t="b">
        <f>AND(left(AE62)="1",left(Z62)="1")</f>
        <v>0</v>
      </c>
      <c r="AI63" s="10" t="b">
        <f>AND(mid(AE62,column()-27,1)="1",mid(Z62,column()-27,1)="1")</f>
        <v>1</v>
      </c>
      <c r="AJ63" s="10" t="b">
        <f>AND(mid(AE62,column()-27,1)="1",mid(Z62,column()-27,1)="1")</f>
        <v>0</v>
      </c>
      <c r="AK63" s="10" t="b">
        <f t="shared" ref="AK63:AK64" si="16">AND(mid(AE62,column()-27,1)="1",mid(Z62,column()-27,1)="1")</f>
        <v>0</v>
      </c>
      <c r="AL63" s="10" t="b">
        <f t="shared" ref="AL63:AL64" si="17">AND(mid(AE62,column()-27,1)="1",mid(Z62,column()-27,1)="1")</f>
        <v>0</v>
      </c>
      <c r="AM63" s="10" t="b">
        <f t="shared" ref="AM63:AM64" si="18">AND(mid(AE62,column()-27,1)="1",mid(Z62,column()-27,1)="1")</f>
        <v>0</v>
      </c>
      <c r="AN63" s="10" t="b">
        <f t="shared" ref="AN63:AN64" si="19">AND(mid(AE62,column()-27,1)="1",mid(Z62,column()-27,1)="1")</f>
        <v>0</v>
      </c>
      <c r="AO63" s="10" t="b">
        <f t="shared" ref="AO63:AO64" si="20">AND(right(AE62)="1",right(Z62)="1")</f>
        <v>1</v>
      </c>
    </row>
    <row r="64">
      <c r="M64" s="5"/>
      <c r="AH64" s="10" t="b">
        <f>OR(left(AE62)="1",left(Z62)="1")</f>
        <v>1</v>
      </c>
      <c r="AI64" s="10" t="b">
        <f>AND(mid(AE62,column()-27,1)="1",mid(Z62,column()-27,1)="1")</f>
        <v>1</v>
      </c>
      <c r="AJ64" s="10" t="b">
        <f>AND(mid(AE62,column()-27,1)="1",mid(Z62,column()-27,1)="1")</f>
        <v>0</v>
      </c>
      <c r="AK64" s="10" t="b">
        <f t="shared" si="16"/>
        <v>0</v>
      </c>
      <c r="AL64" s="10" t="b">
        <f t="shared" si="17"/>
        <v>0</v>
      </c>
      <c r="AM64" s="10" t="b">
        <f t="shared" si="18"/>
        <v>0</v>
      </c>
      <c r="AN64" s="10" t="b">
        <f t="shared" si="19"/>
        <v>0</v>
      </c>
      <c r="AO64" s="10" t="b">
        <f t="shared" si="20"/>
        <v>0</v>
      </c>
    </row>
    <row r="65">
      <c r="M65" s="5"/>
    </row>
    <row r="66">
      <c r="M66" s="5"/>
    </row>
    <row r="67">
      <c r="M67" s="5"/>
    </row>
    <row r="68">
      <c r="M68" s="5" t="str">
        <f>"1010101"</f>
        <v>1010101</v>
      </c>
      <c r="N68" s="10" t="b">
        <f>IFERROR(__xludf.DUMMYFUNCTION("REGEXMATCH(M68,""1"")"),TRUE)</f>
        <v>1</v>
      </c>
      <c r="U68" s="10">
        <f>HEX2DEC(7)</f>
        <v>7</v>
      </c>
    </row>
    <row r="69">
      <c r="M69" s="5"/>
    </row>
    <row r="70">
      <c r="M70" s="5"/>
    </row>
    <row r="71">
      <c r="M71" s="5"/>
    </row>
    <row r="72">
      <c r="M72" s="5"/>
    </row>
    <row r="73">
      <c r="M73" s="5"/>
    </row>
    <row r="74">
      <c r="M74" s="5"/>
    </row>
    <row r="75">
      <c r="M75" s="5"/>
    </row>
    <row r="76">
      <c r="M76" s="5"/>
    </row>
    <row r="77">
      <c r="M77" s="5"/>
    </row>
    <row r="78">
      <c r="M78" s="5"/>
    </row>
    <row r="79">
      <c r="M79" s="5"/>
    </row>
    <row r="80">
      <c r="M80" s="5"/>
    </row>
    <row r="81">
      <c r="M81" s="5"/>
    </row>
    <row r="82">
      <c r="M82" s="5"/>
    </row>
    <row r="83">
      <c r="M83" s="5"/>
    </row>
    <row r="84">
      <c r="M84" s="5"/>
    </row>
    <row r="85">
      <c r="M85" s="5"/>
    </row>
    <row r="86">
      <c r="M86" s="5"/>
    </row>
    <row r="87">
      <c r="M87" s="5"/>
    </row>
    <row r="88">
      <c r="M88" s="5"/>
    </row>
    <row r="89">
      <c r="M89" s="5"/>
    </row>
    <row r="90">
      <c r="M90" s="5"/>
    </row>
    <row r="91">
      <c r="M91" s="5"/>
    </row>
    <row r="92">
      <c r="M92" s="5"/>
    </row>
    <row r="93">
      <c r="M93" s="5"/>
    </row>
    <row r="94">
      <c r="M94" s="5"/>
    </row>
    <row r="95">
      <c r="M95" s="5"/>
    </row>
    <row r="96">
      <c r="M96" s="5"/>
    </row>
    <row r="97">
      <c r="M97" s="5"/>
    </row>
    <row r="98">
      <c r="M98" s="5"/>
    </row>
    <row r="99">
      <c r="M99" s="5"/>
    </row>
    <row r="100">
      <c r="M100" s="5"/>
    </row>
    <row r="101">
      <c r="M101" s="5"/>
    </row>
    <row r="102">
      <c r="M102" s="5"/>
    </row>
    <row r="103">
      <c r="M103" s="5"/>
    </row>
    <row r="104">
      <c r="M104" s="5"/>
    </row>
    <row r="105">
      <c r="M105" s="5"/>
    </row>
    <row r="106">
      <c r="M106" s="5"/>
    </row>
    <row r="107">
      <c r="M107" s="5"/>
    </row>
    <row r="108">
      <c r="M108" s="5"/>
    </row>
    <row r="109">
      <c r="M109" s="5"/>
    </row>
    <row r="110">
      <c r="M110" s="5"/>
    </row>
    <row r="111">
      <c r="M111" s="5"/>
    </row>
    <row r="112">
      <c r="M112" s="5"/>
    </row>
    <row r="113">
      <c r="M113" s="5"/>
    </row>
    <row r="114">
      <c r="M114" s="5"/>
    </row>
    <row r="115">
      <c r="M115" s="5"/>
    </row>
    <row r="116">
      <c r="M116" s="5"/>
    </row>
    <row r="117">
      <c r="M117" s="5"/>
    </row>
    <row r="118">
      <c r="M118" s="5"/>
    </row>
    <row r="119">
      <c r="M119" s="5"/>
    </row>
    <row r="120">
      <c r="M120" s="5"/>
    </row>
    <row r="121">
      <c r="M121" s="5"/>
    </row>
    <row r="122">
      <c r="M122" s="5"/>
    </row>
    <row r="123">
      <c r="M123" s="5"/>
    </row>
    <row r="124">
      <c r="M124" s="5"/>
    </row>
    <row r="125">
      <c r="M125" s="5"/>
    </row>
    <row r="126">
      <c r="M126" s="5"/>
    </row>
    <row r="127">
      <c r="M127" s="5"/>
    </row>
    <row r="128">
      <c r="M128" s="5"/>
    </row>
    <row r="129">
      <c r="M129" s="5"/>
    </row>
    <row r="130">
      <c r="M130" s="5"/>
    </row>
    <row r="131">
      <c r="M131" s="5"/>
    </row>
    <row r="132">
      <c r="M132" s="5"/>
    </row>
    <row r="133">
      <c r="M133" s="5"/>
    </row>
    <row r="134">
      <c r="M134" s="5"/>
    </row>
    <row r="135">
      <c r="M135" s="5"/>
    </row>
    <row r="136">
      <c r="M136" s="5"/>
    </row>
    <row r="137">
      <c r="M137" s="5"/>
    </row>
    <row r="138">
      <c r="M138" s="5"/>
    </row>
    <row r="139">
      <c r="M139" s="5"/>
    </row>
    <row r="140">
      <c r="M140" s="5"/>
    </row>
    <row r="141">
      <c r="M141" s="5"/>
    </row>
    <row r="142">
      <c r="M142" s="5"/>
    </row>
    <row r="143">
      <c r="M143" s="5"/>
    </row>
    <row r="144">
      <c r="M144" s="5"/>
    </row>
    <row r="145">
      <c r="M145" s="5"/>
    </row>
    <row r="146">
      <c r="M146" s="5"/>
    </row>
    <row r="147">
      <c r="M147" s="5"/>
    </row>
    <row r="148">
      <c r="M148" s="5"/>
    </row>
    <row r="149">
      <c r="M149" s="5"/>
    </row>
    <row r="150">
      <c r="M150" s="5"/>
    </row>
    <row r="151">
      <c r="M151" s="5"/>
    </row>
    <row r="152">
      <c r="M152" s="5"/>
    </row>
    <row r="153">
      <c r="M153" s="5"/>
    </row>
    <row r="154">
      <c r="M154" s="5"/>
    </row>
    <row r="155">
      <c r="M155" s="5"/>
    </row>
    <row r="156">
      <c r="M156" s="5"/>
    </row>
    <row r="157">
      <c r="M157" s="5"/>
    </row>
    <row r="158">
      <c r="M158" s="5"/>
    </row>
    <row r="159">
      <c r="M159" s="5"/>
    </row>
    <row r="160">
      <c r="M160" s="5"/>
    </row>
    <row r="161">
      <c r="M161" s="5"/>
    </row>
    <row r="162">
      <c r="M162" s="5"/>
    </row>
    <row r="163">
      <c r="M163" s="5"/>
    </row>
    <row r="164">
      <c r="M164" s="5"/>
    </row>
    <row r="165">
      <c r="M165" s="5"/>
    </row>
    <row r="166">
      <c r="M166" s="5"/>
    </row>
    <row r="167">
      <c r="M167" s="5"/>
    </row>
    <row r="168">
      <c r="M168" s="5"/>
    </row>
    <row r="169">
      <c r="M169" s="5"/>
    </row>
    <row r="170">
      <c r="M170" s="5"/>
    </row>
    <row r="171">
      <c r="M171" s="5"/>
    </row>
    <row r="172">
      <c r="M172" s="5"/>
    </row>
    <row r="173">
      <c r="M173" s="5"/>
    </row>
    <row r="174">
      <c r="M174" s="5"/>
    </row>
    <row r="175">
      <c r="M175" s="5"/>
    </row>
    <row r="176">
      <c r="M176" s="5"/>
    </row>
    <row r="177">
      <c r="M177" s="5"/>
    </row>
    <row r="178">
      <c r="M178" s="5"/>
    </row>
    <row r="179">
      <c r="M179" s="5"/>
    </row>
    <row r="180">
      <c r="M180" s="5"/>
    </row>
    <row r="181">
      <c r="M181" s="5"/>
    </row>
    <row r="182">
      <c r="M182" s="5"/>
    </row>
    <row r="183">
      <c r="M183" s="5"/>
    </row>
    <row r="184">
      <c r="M184" s="5"/>
    </row>
    <row r="185">
      <c r="M185" s="5"/>
    </row>
    <row r="186">
      <c r="M186" s="5"/>
    </row>
    <row r="187">
      <c r="M187" s="5"/>
    </row>
    <row r="188">
      <c r="M188" s="5"/>
    </row>
    <row r="189">
      <c r="M189" s="5"/>
    </row>
    <row r="190">
      <c r="M190" s="5"/>
    </row>
    <row r="191">
      <c r="M191" s="5"/>
    </row>
    <row r="192">
      <c r="M192" s="5"/>
    </row>
    <row r="193">
      <c r="M193" s="5"/>
    </row>
    <row r="194">
      <c r="M194" s="5"/>
    </row>
    <row r="195">
      <c r="M195" s="5"/>
    </row>
    <row r="196">
      <c r="M196" s="5"/>
    </row>
    <row r="197">
      <c r="M197" s="5"/>
    </row>
    <row r="198">
      <c r="M198" s="5"/>
    </row>
    <row r="199">
      <c r="M199" s="5"/>
    </row>
    <row r="200">
      <c r="M200" s="5"/>
    </row>
    <row r="201">
      <c r="M201" s="5"/>
    </row>
    <row r="202">
      <c r="M202" s="5"/>
    </row>
    <row r="203">
      <c r="M203" s="5"/>
    </row>
    <row r="204">
      <c r="M204" s="5"/>
    </row>
    <row r="205">
      <c r="M205" s="5"/>
    </row>
    <row r="206">
      <c r="M206" s="5"/>
    </row>
    <row r="207">
      <c r="M207" s="5"/>
    </row>
    <row r="208">
      <c r="M208" s="5"/>
    </row>
    <row r="209">
      <c r="M209" s="5"/>
    </row>
    <row r="210">
      <c r="M210" s="5"/>
    </row>
    <row r="211">
      <c r="M211" s="5"/>
    </row>
    <row r="212">
      <c r="M212" s="5"/>
    </row>
    <row r="213">
      <c r="M213" s="5"/>
    </row>
    <row r="214">
      <c r="M214" s="5"/>
    </row>
    <row r="215">
      <c r="M215" s="5"/>
    </row>
    <row r="216">
      <c r="M216" s="5"/>
    </row>
    <row r="217">
      <c r="M217" s="5"/>
    </row>
    <row r="218">
      <c r="M218" s="5"/>
    </row>
    <row r="219">
      <c r="M219" s="5"/>
    </row>
    <row r="220">
      <c r="M220" s="5"/>
    </row>
    <row r="221">
      <c r="M221" s="5"/>
    </row>
    <row r="222">
      <c r="M222" s="5"/>
    </row>
    <row r="223">
      <c r="M223" s="5"/>
    </row>
    <row r="224">
      <c r="M224" s="5"/>
    </row>
    <row r="225">
      <c r="M225" s="5"/>
    </row>
    <row r="226">
      <c r="M226" s="5"/>
    </row>
    <row r="227">
      <c r="M227" s="5"/>
    </row>
    <row r="228">
      <c r="M228" s="5"/>
    </row>
    <row r="229">
      <c r="M229" s="5"/>
    </row>
    <row r="230">
      <c r="M230" s="5"/>
    </row>
    <row r="231">
      <c r="M231" s="5"/>
    </row>
    <row r="232">
      <c r="M232" s="5"/>
    </row>
    <row r="233">
      <c r="M233" s="5"/>
    </row>
    <row r="234">
      <c r="M234" s="5"/>
    </row>
    <row r="235">
      <c r="M235" s="5"/>
    </row>
    <row r="236">
      <c r="M236" s="5"/>
    </row>
    <row r="237">
      <c r="M237" s="5"/>
    </row>
    <row r="238">
      <c r="M238" s="5"/>
    </row>
    <row r="239">
      <c r="M239" s="5"/>
    </row>
    <row r="240">
      <c r="M240" s="5"/>
    </row>
    <row r="241">
      <c r="M241" s="5"/>
    </row>
    <row r="242">
      <c r="M242" s="5"/>
    </row>
    <row r="243">
      <c r="M243" s="5"/>
    </row>
    <row r="244">
      <c r="M244" s="5"/>
    </row>
    <row r="245">
      <c r="M245" s="5"/>
    </row>
    <row r="246">
      <c r="M246" s="5"/>
    </row>
    <row r="247">
      <c r="M247" s="5"/>
    </row>
    <row r="248">
      <c r="M248" s="5"/>
    </row>
    <row r="249">
      <c r="M249" s="5"/>
    </row>
    <row r="250">
      <c r="M250" s="5"/>
    </row>
    <row r="251">
      <c r="M251" s="5"/>
    </row>
    <row r="252">
      <c r="M252" s="5"/>
    </row>
    <row r="253">
      <c r="M253" s="5"/>
    </row>
    <row r="254">
      <c r="M254" s="5"/>
    </row>
    <row r="255">
      <c r="M255" s="5"/>
    </row>
    <row r="256">
      <c r="M256" s="5"/>
    </row>
    <row r="257">
      <c r="M257" s="5"/>
    </row>
    <row r="258">
      <c r="M258" s="5"/>
    </row>
    <row r="259">
      <c r="M259" s="5"/>
    </row>
    <row r="260">
      <c r="M260" s="5"/>
    </row>
    <row r="261">
      <c r="M261" s="5"/>
    </row>
    <row r="262">
      <c r="M262" s="5"/>
    </row>
    <row r="263">
      <c r="M263" s="5"/>
    </row>
    <row r="264">
      <c r="M264" s="5"/>
    </row>
    <row r="265">
      <c r="M265" s="5"/>
    </row>
    <row r="266">
      <c r="M266" s="5"/>
    </row>
    <row r="267">
      <c r="M267" s="5"/>
    </row>
    <row r="268">
      <c r="M268" s="5"/>
    </row>
    <row r="269">
      <c r="M269" s="5"/>
    </row>
    <row r="270">
      <c r="M270" s="5"/>
    </row>
    <row r="271">
      <c r="M271" s="5"/>
    </row>
    <row r="272">
      <c r="M272" s="5"/>
    </row>
    <row r="273">
      <c r="M273" s="5"/>
    </row>
    <row r="274">
      <c r="M274" s="5"/>
    </row>
    <row r="275">
      <c r="M275" s="5"/>
    </row>
    <row r="276">
      <c r="M276" s="5"/>
    </row>
    <row r="277">
      <c r="M277" s="5"/>
    </row>
    <row r="278">
      <c r="M278" s="5"/>
    </row>
    <row r="279">
      <c r="M279" s="5"/>
    </row>
    <row r="280">
      <c r="M280" s="5"/>
    </row>
    <row r="281">
      <c r="M281" s="5"/>
    </row>
    <row r="282">
      <c r="M282" s="5"/>
    </row>
    <row r="283">
      <c r="M283" s="5"/>
    </row>
    <row r="284">
      <c r="M284" s="5"/>
    </row>
    <row r="285">
      <c r="M285" s="5"/>
    </row>
    <row r="286">
      <c r="M286" s="5"/>
    </row>
    <row r="287">
      <c r="M287" s="5"/>
    </row>
    <row r="288">
      <c r="M288" s="5"/>
    </row>
    <row r="289">
      <c r="M289" s="5"/>
    </row>
    <row r="290">
      <c r="M290" s="5"/>
    </row>
    <row r="291">
      <c r="M291" s="5"/>
    </row>
    <row r="292">
      <c r="M292" s="5"/>
    </row>
    <row r="293">
      <c r="M293" s="5"/>
    </row>
    <row r="294">
      <c r="M294" s="5"/>
    </row>
    <row r="295">
      <c r="M295" s="5"/>
    </row>
    <row r="296">
      <c r="M296" s="5"/>
    </row>
    <row r="297">
      <c r="M297" s="5"/>
    </row>
    <row r="298">
      <c r="M298" s="5"/>
    </row>
    <row r="299">
      <c r="M299" s="5"/>
    </row>
    <row r="300">
      <c r="M300" s="5"/>
    </row>
    <row r="301">
      <c r="M301" s="5"/>
    </row>
    <row r="302">
      <c r="M302" s="5"/>
    </row>
    <row r="303">
      <c r="M303" s="5"/>
    </row>
    <row r="304">
      <c r="M304" s="5"/>
    </row>
    <row r="305">
      <c r="M305" s="5"/>
    </row>
    <row r="306">
      <c r="M306" s="5"/>
    </row>
    <row r="307">
      <c r="M307" s="5"/>
    </row>
    <row r="308">
      <c r="M308" s="5"/>
    </row>
    <row r="309">
      <c r="M309" s="5"/>
    </row>
    <row r="310">
      <c r="M310" s="5"/>
    </row>
    <row r="311">
      <c r="M311" s="5"/>
    </row>
    <row r="312">
      <c r="M312" s="5"/>
    </row>
    <row r="313">
      <c r="M313" s="5"/>
    </row>
    <row r="314">
      <c r="M314" s="5"/>
    </row>
    <row r="315">
      <c r="M315" s="5"/>
    </row>
    <row r="316">
      <c r="M316" s="5"/>
    </row>
    <row r="317">
      <c r="M317" s="5"/>
    </row>
    <row r="318">
      <c r="M318" s="5"/>
    </row>
    <row r="319">
      <c r="M319" s="5"/>
    </row>
    <row r="320">
      <c r="M320" s="5"/>
    </row>
    <row r="321">
      <c r="M321" s="5"/>
    </row>
    <row r="322">
      <c r="M322" s="5"/>
    </row>
    <row r="323">
      <c r="M323" s="5"/>
    </row>
    <row r="324">
      <c r="M324" s="5"/>
    </row>
    <row r="325">
      <c r="M325" s="5"/>
    </row>
    <row r="326">
      <c r="M326" s="5"/>
    </row>
    <row r="327">
      <c r="M327" s="5"/>
    </row>
    <row r="328">
      <c r="M328" s="5"/>
    </row>
    <row r="329">
      <c r="M329" s="5"/>
    </row>
    <row r="330">
      <c r="M330" s="5"/>
    </row>
    <row r="331">
      <c r="M331" s="5"/>
    </row>
    <row r="332">
      <c r="M332" s="5"/>
    </row>
    <row r="333">
      <c r="M333" s="5"/>
    </row>
    <row r="334">
      <c r="M334" s="5"/>
    </row>
    <row r="335">
      <c r="M335" s="5"/>
    </row>
    <row r="336">
      <c r="M336" s="5"/>
    </row>
    <row r="337">
      <c r="M337" s="5"/>
    </row>
    <row r="338">
      <c r="M338" s="5"/>
    </row>
    <row r="339">
      <c r="M339" s="5"/>
    </row>
    <row r="340">
      <c r="M340" s="5"/>
    </row>
    <row r="341">
      <c r="M341" s="5"/>
    </row>
    <row r="342">
      <c r="M342" s="5"/>
    </row>
    <row r="343">
      <c r="M343" s="5"/>
    </row>
    <row r="344">
      <c r="M344" s="5"/>
    </row>
    <row r="345">
      <c r="M345" s="5"/>
    </row>
    <row r="346">
      <c r="M346" s="5"/>
    </row>
    <row r="347">
      <c r="M347" s="5"/>
    </row>
    <row r="348">
      <c r="M348" s="5"/>
    </row>
    <row r="349">
      <c r="M349" s="5"/>
    </row>
    <row r="350">
      <c r="M350" s="5"/>
    </row>
    <row r="351">
      <c r="M351" s="5"/>
    </row>
    <row r="352">
      <c r="M352" s="5"/>
    </row>
    <row r="353">
      <c r="M353" s="5"/>
    </row>
    <row r="354">
      <c r="M354" s="5"/>
    </row>
    <row r="355">
      <c r="M355" s="5"/>
    </row>
    <row r="356">
      <c r="M356" s="5"/>
    </row>
    <row r="357">
      <c r="M357" s="5"/>
    </row>
    <row r="358">
      <c r="M358" s="5"/>
    </row>
    <row r="359">
      <c r="M359" s="5"/>
    </row>
    <row r="360">
      <c r="M360" s="5"/>
    </row>
    <row r="361">
      <c r="M361" s="5"/>
    </row>
    <row r="362">
      <c r="M362" s="5"/>
    </row>
    <row r="363">
      <c r="M363" s="5"/>
    </row>
    <row r="364">
      <c r="M364" s="5"/>
    </row>
    <row r="365">
      <c r="M365" s="5"/>
    </row>
    <row r="366">
      <c r="M366" s="5"/>
    </row>
    <row r="367">
      <c r="M367" s="5"/>
    </row>
    <row r="368">
      <c r="M368" s="5"/>
    </row>
    <row r="369">
      <c r="M369" s="5"/>
    </row>
    <row r="370">
      <c r="M370" s="5"/>
    </row>
    <row r="371">
      <c r="M371" s="5"/>
    </row>
    <row r="372">
      <c r="M372" s="5"/>
    </row>
    <row r="373">
      <c r="M373" s="5"/>
    </row>
    <row r="374">
      <c r="M374" s="5"/>
    </row>
    <row r="375">
      <c r="M375" s="5"/>
    </row>
    <row r="376">
      <c r="M376" s="5"/>
    </row>
    <row r="377">
      <c r="M377" s="5"/>
    </row>
    <row r="378">
      <c r="M378" s="5"/>
    </row>
    <row r="379">
      <c r="M379" s="5"/>
    </row>
    <row r="380">
      <c r="M380" s="5"/>
    </row>
    <row r="381">
      <c r="M381" s="5"/>
    </row>
    <row r="382">
      <c r="M382" s="5"/>
    </row>
    <row r="383">
      <c r="M383" s="5"/>
    </row>
    <row r="384">
      <c r="M384" s="5"/>
    </row>
    <row r="385">
      <c r="M385" s="5"/>
    </row>
    <row r="386">
      <c r="M386" s="5"/>
    </row>
    <row r="387">
      <c r="M387" s="5"/>
    </row>
    <row r="388">
      <c r="M388" s="5"/>
    </row>
    <row r="389">
      <c r="M389" s="5"/>
    </row>
    <row r="390">
      <c r="M390" s="5"/>
    </row>
    <row r="391">
      <c r="M391" s="5"/>
    </row>
    <row r="392">
      <c r="M392" s="5"/>
    </row>
    <row r="393">
      <c r="M393" s="5"/>
    </row>
    <row r="394">
      <c r="M394" s="5"/>
    </row>
    <row r="395">
      <c r="M395" s="5"/>
    </row>
    <row r="396">
      <c r="M396" s="5"/>
    </row>
    <row r="397">
      <c r="M397" s="5"/>
    </row>
    <row r="398">
      <c r="M398" s="5"/>
    </row>
    <row r="399">
      <c r="M399" s="5"/>
    </row>
    <row r="400">
      <c r="M400" s="5"/>
    </row>
    <row r="401">
      <c r="M401" s="5"/>
    </row>
    <row r="402">
      <c r="M402" s="5"/>
    </row>
    <row r="403">
      <c r="M403" s="5"/>
    </row>
    <row r="404">
      <c r="M404" s="5"/>
    </row>
    <row r="405">
      <c r="M405" s="5"/>
    </row>
    <row r="406">
      <c r="M406" s="5"/>
    </row>
    <row r="407">
      <c r="M407" s="5"/>
    </row>
    <row r="408">
      <c r="M408" s="5"/>
    </row>
    <row r="409">
      <c r="M409" s="5"/>
    </row>
    <row r="410">
      <c r="M410" s="5"/>
    </row>
    <row r="411">
      <c r="M411" s="5"/>
    </row>
    <row r="412">
      <c r="M412" s="5"/>
    </row>
    <row r="413">
      <c r="M413" s="5"/>
    </row>
    <row r="414">
      <c r="M414" s="5"/>
    </row>
    <row r="415">
      <c r="M415" s="5"/>
    </row>
    <row r="416">
      <c r="M416" s="5"/>
    </row>
    <row r="417">
      <c r="M417" s="5"/>
    </row>
    <row r="418">
      <c r="M418" s="5"/>
    </row>
    <row r="419">
      <c r="M419" s="5"/>
    </row>
    <row r="420">
      <c r="M420" s="5"/>
    </row>
    <row r="421">
      <c r="M421" s="5"/>
    </row>
    <row r="422">
      <c r="M422" s="5"/>
    </row>
    <row r="423">
      <c r="M423" s="5"/>
    </row>
    <row r="424">
      <c r="M424" s="5"/>
    </row>
    <row r="425">
      <c r="M425" s="5"/>
    </row>
    <row r="426">
      <c r="M426" s="5"/>
    </row>
    <row r="427">
      <c r="M427" s="5"/>
    </row>
    <row r="428">
      <c r="M428" s="5"/>
    </row>
    <row r="429">
      <c r="M429" s="5"/>
    </row>
    <row r="430">
      <c r="M430" s="5"/>
    </row>
    <row r="431">
      <c r="M431" s="5"/>
    </row>
    <row r="432">
      <c r="M432" s="5"/>
    </row>
    <row r="433">
      <c r="M433" s="5"/>
    </row>
    <row r="434">
      <c r="M434" s="5"/>
    </row>
    <row r="435">
      <c r="M435" s="5"/>
    </row>
    <row r="436">
      <c r="M436" s="5"/>
    </row>
    <row r="437">
      <c r="M437" s="5"/>
    </row>
    <row r="438">
      <c r="M438" s="5"/>
    </row>
    <row r="439">
      <c r="M439" s="5"/>
    </row>
    <row r="440">
      <c r="M440" s="5"/>
    </row>
    <row r="441">
      <c r="M441" s="5"/>
    </row>
    <row r="442">
      <c r="M442" s="5"/>
    </row>
    <row r="443">
      <c r="M443" s="5"/>
    </row>
    <row r="444">
      <c r="M444" s="5"/>
    </row>
    <row r="445">
      <c r="M445" s="5"/>
    </row>
    <row r="446">
      <c r="M446" s="5"/>
    </row>
    <row r="447">
      <c r="M447" s="5"/>
    </row>
    <row r="448">
      <c r="M448" s="5"/>
    </row>
    <row r="449">
      <c r="M449" s="5"/>
    </row>
    <row r="450">
      <c r="M450" s="5"/>
    </row>
    <row r="451">
      <c r="M451" s="5"/>
    </row>
    <row r="452">
      <c r="M452" s="5"/>
    </row>
    <row r="453">
      <c r="M453" s="5"/>
    </row>
    <row r="454">
      <c r="M454" s="5"/>
    </row>
    <row r="455">
      <c r="M455" s="5"/>
    </row>
    <row r="456">
      <c r="M456" s="5"/>
    </row>
    <row r="457">
      <c r="M457" s="5"/>
    </row>
    <row r="458">
      <c r="M458" s="5"/>
    </row>
    <row r="459">
      <c r="M459" s="5"/>
    </row>
    <row r="460">
      <c r="M460" s="5"/>
    </row>
    <row r="461">
      <c r="M461" s="5"/>
    </row>
    <row r="462">
      <c r="M462" s="5"/>
    </row>
    <row r="463">
      <c r="M463" s="5"/>
    </row>
    <row r="464">
      <c r="M464" s="5"/>
    </row>
    <row r="465">
      <c r="M465" s="5"/>
    </row>
    <row r="466">
      <c r="M466" s="5"/>
    </row>
    <row r="467">
      <c r="M467" s="5"/>
    </row>
    <row r="468">
      <c r="M468" s="5"/>
    </row>
    <row r="469">
      <c r="M469" s="5"/>
    </row>
    <row r="470">
      <c r="M470" s="5"/>
    </row>
    <row r="471">
      <c r="M471" s="5"/>
    </row>
    <row r="472">
      <c r="M472" s="5"/>
    </row>
    <row r="473">
      <c r="M473" s="5"/>
    </row>
    <row r="474">
      <c r="M474" s="5"/>
    </row>
    <row r="475">
      <c r="M475" s="5"/>
    </row>
    <row r="476">
      <c r="M476" s="5"/>
    </row>
    <row r="477">
      <c r="M477" s="5"/>
    </row>
    <row r="478">
      <c r="M478" s="5"/>
    </row>
    <row r="479">
      <c r="M479" s="5"/>
    </row>
    <row r="480">
      <c r="M480" s="5"/>
    </row>
    <row r="481">
      <c r="M481" s="5"/>
    </row>
    <row r="482">
      <c r="M482" s="5"/>
    </row>
    <row r="483">
      <c r="M483" s="5"/>
    </row>
    <row r="484">
      <c r="M484" s="5"/>
    </row>
    <row r="485">
      <c r="M485" s="5"/>
    </row>
    <row r="486">
      <c r="M486" s="5"/>
    </row>
    <row r="487">
      <c r="M487" s="5"/>
    </row>
    <row r="488">
      <c r="M488" s="5"/>
    </row>
    <row r="489">
      <c r="M489" s="5"/>
    </row>
    <row r="490">
      <c r="M490" s="5"/>
    </row>
    <row r="491">
      <c r="M491" s="5"/>
    </row>
    <row r="492">
      <c r="M492" s="5"/>
    </row>
    <row r="493">
      <c r="M493" s="5"/>
    </row>
    <row r="494">
      <c r="M494" s="5"/>
    </row>
    <row r="495">
      <c r="M495" s="5"/>
    </row>
    <row r="496">
      <c r="M496" s="5"/>
    </row>
    <row r="497">
      <c r="M497" s="5"/>
    </row>
    <row r="498">
      <c r="M498" s="5"/>
    </row>
    <row r="499">
      <c r="M499" s="5"/>
    </row>
    <row r="500">
      <c r="M500" s="5"/>
    </row>
    <row r="501">
      <c r="M501" s="5"/>
    </row>
    <row r="502">
      <c r="M502" s="5"/>
    </row>
    <row r="503">
      <c r="M503" s="5"/>
    </row>
    <row r="504">
      <c r="M504" s="5"/>
    </row>
    <row r="505">
      <c r="M505" s="5"/>
    </row>
    <row r="506">
      <c r="M506" s="5"/>
    </row>
    <row r="507">
      <c r="M507" s="5"/>
    </row>
    <row r="508">
      <c r="M508" s="5"/>
    </row>
    <row r="509">
      <c r="M509" s="5"/>
    </row>
    <row r="510">
      <c r="M510" s="5"/>
    </row>
    <row r="511">
      <c r="M511" s="5"/>
    </row>
    <row r="512">
      <c r="M512" s="5"/>
    </row>
    <row r="513">
      <c r="M513" s="5"/>
    </row>
    <row r="514">
      <c r="M514" s="5"/>
    </row>
    <row r="515">
      <c r="M515" s="5"/>
    </row>
    <row r="516">
      <c r="M516" s="5"/>
    </row>
    <row r="517">
      <c r="M517" s="5"/>
    </row>
    <row r="518">
      <c r="M518" s="5"/>
    </row>
    <row r="519">
      <c r="M519" s="5"/>
    </row>
    <row r="520">
      <c r="M520" s="5"/>
    </row>
    <row r="521">
      <c r="M521" s="5"/>
    </row>
    <row r="522">
      <c r="M522" s="5"/>
    </row>
    <row r="523">
      <c r="M523" s="5"/>
    </row>
    <row r="524">
      <c r="M524" s="5"/>
    </row>
    <row r="525">
      <c r="M525" s="5"/>
    </row>
    <row r="526">
      <c r="M526" s="5"/>
    </row>
    <row r="527">
      <c r="M527" s="5"/>
    </row>
    <row r="528">
      <c r="M528" s="5"/>
    </row>
    <row r="529">
      <c r="M529" s="5"/>
    </row>
    <row r="530">
      <c r="M530" s="5"/>
    </row>
    <row r="531">
      <c r="M531" s="5"/>
    </row>
    <row r="532">
      <c r="M532" s="5"/>
    </row>
    <row r="533">
      <c r="M533" s="5"/>
    </row>
    <row r="534">
      <c r="M534" s="5"/>
    </row>
    <row r="535">
      <c r="M535" s="5"/>
    </row>
    <row r="536">
      <c r="M536" s="5"/>
    </row>
    <row r="537">
      <c r="M537" s="5"/>
    </row>
    <row r="538">
      <c r="M538" s="5"/>
    </row>
    <row r="539">
      <c r="M539" s="5"/>
    </row>
    <row r="540">
      <c r="M540" s="5"/>
    </row>
    <row r="541">
      <c r="M541" s="5"/>
    </row>
    <row r="542">
      <c r="M542" s="5"/>
    </row>
    <row r="543">
      <c r="M543" s="5"/>
    </row>
    <row r="544">
      <c r="M544" s="5"/>
    </row>
    <row r="545">
      <c r="M545" s="5"/>
    </row>
    <row r="546">
      <c r="M546" s="5"/>
    </row>
    <row r="547">
      <c r="M547" s="5"/>
    </row>
    <row r="548">
      <c r="M548" s="5"/>
    </row>
    <row r="549">
      <c r="M549" s="5"/>
    </row>
    <row r="550">
      <c r="M550" s="5"/>
    </row>
    <row r="551">
      <c r="M551" s="5"/>
    </row>
    <row r="552">
      <c r="M552" s="5"/>
    </row>
    <row r="553">
      <c r="M553" s="5"/>
    </row>
    <row r="554">
      <c r="M554" s="5"/>
    </row>
    <row r="555">
      <c r="M555" s="5"/>
    </row>
    <row r="556">
      <c r="M556" s="5"/>
    </row>
    <row r="557">
      <c r="M557" s="5"/>
    </row>
    <row r="558">
      <c r="M558" s="5"/>
    </row>
    <row r="559">
      <c r="M559" s="5"/>
    </row>
    <row r="560">
      <c r="M560" s="5"/>
    </row>
    <row r="561">
      <c r="M561" s="5"/>
    </row>
    <row r="562">
      <c r="M562" s="5"/>
    </row>
    <row r="563">
      <c r="M563" s="5"/>
    </row>
    <row r="564">
      <c r="M564" s="5"/>
    </row>
    <row r="565">
      <c r="M565" s="5"/>
    </row>
    <row r="566">
      <c r="M566" s="5"/>
    </row>
    <row r="567">
      <c r="M567" s="5"/>
    </row>
    <row r="568">
      <c r="M568" s="5"/>
    </row>
    <row r="569">
      <c r="M569" s="5"/>
    </row>
    <row r="570">
      <c r="M570" s="5"/>
    </row>
    <row r="571">
      <c r="M571" s="5"/>
    </row>
    <row r="572">
      <c r="M572" s="5"/>
    </row>
    <row r="573">
      <c r="M573" s="5"/>
    </row>
    <row r="574">
      <c r="M574" s="5"/>
    </row>
    <row r="575">
      <c r="M575" s="5"/>
    </row>
    <row r="576">
      <c r="M576" s="5"/>
    </row>
    <row r="577">
      <c r="M577" s="5"/>
    </row>
    <row r="578">
      <c r="M578" s="5"/>
    </row>
    <row r="579">
      <c r="M579" s="5"/>
    </row>
    <row r="580">
      <c r="M580" s="5"/>
    </row>
    <row r="581">
      <c r="M581" s="5"/>
    </row>
    <row r="582">
      <c r="M582" s="5"/>
    </row>
    <row r="583">
      <c r="M583" s="5"/>
    </row>
    <row r="584">
      <c r="M584" s="5"/>
    </row>
    <row r="585">
      <c r="M585" s="5"/>
    </row>
    <row r="586">
      <c r="M586" s="5"/>
    </row>
    <row r="587">
      <c r="M587" s="5"/>
    </row>
    <row r="588">
      <c r="M588" s="5"/>
    </row>
    <row r="589">
      <c r="M589" s="5"/>
    </row>
    <row r="590">
      <c r="M590" s="5"/>
    </row>
    <row r="591">
      <c r="M591" s="5"/>
    </row>
    <row r="592">
      <c r="M592" s="5"/>
    </row>
    <row r="593">
      <c r="M593" s="5"/>
    </row>
    <row r="594">
      <c r="M594" s="5"/>
    </row>
    <row r="595">
      <c r="M595" s="5"/>
    </row>
    <row r="596">
      <c r="M596" s="5"/>
    </row>
    <row r="597">
      <c r="M597" s="5"/>
    </row>
    <row r="598">
      <c r="M598" s="5"/>
    </row>
    <row r="599">
      <c r="M599" s="5"/>
    </row>
    <row r="600">
      <c r="M600" s="5"/>
    </row>
    <row r="601">
      <c r="M601" s="5"/>
    </row>
    <row r="602">
      <c r="M602" s="5"/>
    </row>
    <row r="603">
      <c r="M603" s="5"/>
    </row>
    <row r="604">
      <c r="M604" s="5"/>
    </row>
    <row r="605">
      <c r="M605" s="5"/>
    </row>
    <row r="606">
      <c r="M606" s="5"/>
    </row>
    <row r="607">
      <c r="M607" s="5"/>
    </row>
    <row r="608">
      <c r="M608" s="5"/>
    </row>
    <row r="609">
      <c r="M609" s="5"/>
    </row>
    <row r="610">
      <c r="M610" s="5"/>
    </row>
    <row r="611">
      <c r="M611" s="5"/>
    </row>
    <row r="612">
      <c r="M612" s="5"/>
    </row>
    <row r="613">
      <c r="M613" s="5"/>
    </row>
    <row r="614">
      <c r="M614" s="5"/>
    </row>
    <row r="615">
      <c r="M615" s="5"/>
    </row>
    <row r="616">
      <c r="M616" s="5"/>
    </row>
    <row r="617">
      <c r="M617" s="5"/>
    </row>
    <row r="618">
      <c r="M618" s="5"/>
    </row>
    <row r="619">
      <c r="M619" s="5"/>
    </row>
    <row r="620">
      <c r="M620" s="5"/>
    </row>
    <row r="621">
      <c r="M621" s="5"/>
    </row>
    <row r="622">
      <c r="M622" s="5"/>
    </row>
    <row r="623">
      <c r="M623" s="5"/>
    </row>
    <row r="624">
      <c r="M624" s="5"/>
    </row>
    <row r="625">
      <c r="M625" s="5"/>
    </row>
    <row r="626">
      <c r="M626" s="5"/>
    </row>
    <row r="627">
      <c r="M627" s="5"/>
    </row>
    <row r="628">
      <c r="M628" s="5"/>
    </row>
    <row r="629">
      <c r="M629" s="5"/>
    </row>
    <row r="630">
      <c r="M630" s="5"/>
    </row>
    <row r="631">
      <c r="M631" s="5"/>
    </row>
    <row r="632">
      <c r="M632" s="5"/>
    </row>
    <row r="633">
      <c r="M633" s="5"/>
    </row>
    <row r="634">
      <c r="M634" s="5"/>
    </row>
    <row r="635">
      <c r="M635" s="5"/>
    </row>
    <row r="636">
      <c r="M636" s="5"/>
    </row>
    <row r="637">
      <c r="M637" s="5"/>
    </row>
    <row r="638">
      <c r="M638" s="5"/>
    </row>
    <row r="639">
      <c r="M639" s="5"/>
    </row>
    <row r="640">
      <c r="M640" s="5"/>
    </row>
    <row r="641">
      <c r="M641" s="5"/>
    </row>
    <row r="642">
      <c r="M642" s="5"/>
    </row>
    <row r="643">
      <c r="M643" s="5"/>
    </row>
    <row r="644">
      <c r="M644" s="5"/>
    </row>
    <row r="645">
      <c r="M645" s="5"/>
    </row>
    <row r="646">
      <c r="M646" s="5"/>
    </row>
    <row r="647">
      <c r="M647" s="5"/>
    </row>
    <row r="648">
      <c r="M648" s="5"/>
    </row>
    <row r="649">
      <c r="M649" s="5"/>
    </row>
    <row r="650">
      <c r="M650" s="5"/>
    </row>
    <row r="651">
      <c r="M651" s="5"/>
    </row>
    <row r="652">
      <c r="M652" s="5"/>
    </row>
    <row r="653">
      <c r="M653" s="5"/>
    </row>
    <row r="654">
      <c r="M654" s="5"/>
    </row>
    <row r="655">
      <c r="M655" s="5"/>
    </row>
    <row r="656">
      <c r="M656" s="5"/>
    </row>
    <row r="657">
      <c r="M657" s="5"/>
    </row>
    <row r="658">
      <c r="M658" s="5"/>
    </row>
    <row r="659">
      <c r="M659" s="5"/>
    </row>
    <row r="660">
      <c r="M660" s="5"/>
    </row>
    <row r="661">
      <c r="M661" s="5"/>
    </row>
    <row r="662">
      <c r="M662" s="5"/>
    </row>
    <row r="663">
      <c r="M663" s="5"/>
    </row>
    <row r="664">
      <c r="M664" s="5"/>
    </row>
    <row r="665">
      <c r="M665" s="5"/>
    </row>
    <row r="666">
      <c r="M666" s="5"/>
    </row>
    <row r="667">
      <c r="M667" s="5"/>
    </row>
    <row r="668">
      <c r="M668" s="5"/>
    </row>
    <row r="669">
      <c r="M669" s="5"/>
    </row>
    <row r="670">
      <c r="M670" s="5"/>
    </row>
    <row r="671">
      <c r="M671" s="5"/>
    </row>
    <row r="672">
      <c r="M672" s="5"/>
    </row>
    <row r="673">
      <c r="M673" s="5"/>
    </row>
    <row r="674">
      <c r="M674" s="5"/>
    </row>
    <row r="675">
      <c r="M675" s="5"/>
    </row>
    <row r="676">
      <c r="M676" s="5"/>
    </row>
    <row r="677">
      <c r="M677" s="5"/>
    </row>
    <row r="678">
      <c r="M678" s="5"/>
    </row>
    <row r="679">
      <c r="M679" s="5"/>
    </row>
    <row r="680">
      <c r="M680" s="5"/>
    </row>
    <row r="681">
      <c r="M681" s="5"/>
    </row>
    <row r="682">
      <c r="M682" s="5"/>
    </row>
    <row r="683">
      <c r="M683" s="5"/>
    </row>
    <row r="684">
      <c r="M684" s="5"/>
    </row>
    <row r="685">
      <c r="M685" s="5"/>
    </row>
    <row r="686">
      <c r="M686" s="5"/>
    </row>
    <row r="687">
      <c r="M687" s="5"/>
    </row>
    <row r="688">
      <c r="M688" s="5"/>
    </row>
    <row r="689">
      <c r="M689" s="5"/>
    </row>
    <row r="690">
      <c r="M690" s="5"/>
    </row>
    <row r="691">
      <c r="M691" s="5"/>
    </row>
    <row r="692">
      <c r="M692" s="5"/>
    </row>
    <row r="693">
      <c r="M693" s="5"/>
    </row>
    <row r="694">
      <c r="M694" s="5"/>
    </row>
    <row r="695">
      <c r="M695" s="5"/>
    </row>
    <row r="696">
      <c r="M696" s="5"/>
    </row>
    <row r="697">
      <c r="M697" s="5"/>
    </row>
    <row r="698">
      <c r="M698" s="5"/>
    </row>
    <row r="699">
      <c r="M699" s="5"/>
    </row>
    <row r="700">
      <c r="M700" s="5"/>
    </row>
    <row r="701">
      <c r="M701" s="5"/>
    </row>
    <row r="702">
      <c r="M702" s="5"/>
    </row>
    <row r="703">
      <c r="M703" s="5"/>
    </row>
    <row r="704">
      <c r="M704" s="5"/>
    </row>
    <row r="705">
      <c r="M705" s="5"/>
    </row>
    <row r="706">
      <c r="M706" s="5"/>
    </row>
    <row r="707">
      <c r="M707" s="5"/>
    </row>
    <row r="708">
      <c r="M708" s="5"/>
    </row>
    <row r="709">
      <c r="M709" s="5"/>
    </row>
    <row r="710">
      <c r="M710" s="5"/>
    </row>
    <row r="711">
      <c r="M711" s="5"/>
    </row>
    <row r="712">
      <c r="M712" s="5"/>
    </row>
    <row r="713">
      <c r="M713" s="5"/>
    </row>
    <row r="714">
      <c r="M714" s="5"/>
    </row>
    <row r="715">
      <c r="M715" s="5"/>
    </row>
    <row r="716">
      <c r="M716" s="5"/>
    </row>
    <row r="717">
      <c r="M717" s="5"/>
    </row>
    <row r="718">
      <c r="M718" s="5"/>
    </row>
    <row r="719">
      <c r="M719" s="5"/>
    </row>
    <row r="720">
      <c r="M720" s="5"/>
    </row>
    <row r="721">
      <c r="M721" s="5"/>
    </row>
    <row r="722">
      <c r="M722" s="5"/>
    </row>
    <row r="723">
      <c r="M723" s="5"/>
    </row>
    <row r="724">
      <c r="M724" s="5"/>
    </row>
    <row r="725">
      <c r="M725" s="5"/>
    </row>
    <row r="726">
      <c r="M726" s="5"/>
    </row>
    <row r="727">
      <c r="M727" s="5"/>
    </row>
    <row r="728">
      <c r="M728" s="5"/>
    </row>
    <row r="729">
      <c r="M729" s="5"/>
    </row>
    <row r="730">
      <c r="M730" s="5"/>
    </row>
    <row r="731">
      <c r="M731" s="5"/>
    </row>
    <row r="732">
      <c r="M732" s="5"/>
    </row>
    <row r="733">
      <c r="M733" s="5"/>
    </row>
    <row r="734">
      <c r="M734" s="5"/>
    </row>
    <row r="735">
      <c r="M735" s="5"/>
    </row>
    <row r="736">
      <c r="M736" s="5"/>
    </row>
    <row r="737">
      <c r="M737" s="5"/>
    </row>
    <row r="738">
      <c r="M738" s="5"/>
    </row>
    <row r="739">
      <c r="M739" s="5"/>
    </row>
    <row r="740">
      <c r="M740" s="5"/>
    </row>
    <row r="741">
      <c r="M741" s="5"/>
    </row>
    <row r="742">
      <c r="M742" s="5"/>
    </row>
    <row r="743">
      <c r="M743" s="5"/>
    </row>
    <row r="744">
      <c r="M744" s="5"/>
    </row>
    <row r="745">
      <c r="M745" s="5"/>
    </row>
    <row r="746">
      <c r="M746" s="5"/>
    </row>
    <row r="747">
      <c r="M747" s="5"/>
    </row>
    <row r="748">
      <c r="M748" s="5"/>
    </row>
    <row r="749">
      <c r="M749" s="5"/>
    </row>
    <row r="750">
      <c r="M750" s="5"/>
    </row>
    <row r="751">
      <c r="M751" s="5"/>
    </row>
    <row r="752">
      <c r="M752" s="5"/>
    </row>
    <row r="753">
      <c r="M753" s="5"/>
    </row>
    <row r="754">
      <c r="M754" s="5"/>
    </row>
    <row r="755">
      <c r="M755" s="5"/>
    </row>
    <row r="756">
      <c r="M756" s="5"/>
    </row>
    <row r="757">
      <c r="M757" s="5"/>
    </row>
    <row r="758">
      <c r="M758" s="5"/>
    </row>
    <row r="759">
      <c r="M759" s="5"/>
    </row>
    <row r="760">
      <c r="M760" s="5"/>
    </row>
    <row r="761">
      <c r="M761" s="5"/>
    </row>
    <row r="762">
      <c r="M762" s="5"/>
    </row>
    <row r="763">
      <c r="M763" s="5"/>
    </row>
    <row r="764">
      <c r="M764" s="5"/>
    </row>
    <row r="765">
      <c r="M765" s="5"/>
    </row>
    <row r="766">
      <c r="M766" s="5"/>
    </row>
    <row r="767">
      <c r="M767" s="5"/>
    </row>
    <row r="768">
      <c r="M768" s="5"/>
    </row>
    <row r="769">
      <c r="M769" s="5"/>
    </row>
    <row r="770">
      <c r="M770" s="5"/>
    </row>
    <row r="771">
      <c r="M771" s="5"/>
    </row>
    <row r="772">
      <c r="M772" s="5"/>
    </row>
    <row r="773">
      <c r="M773" s="5"/>
    </row>
    <row r="774">
      <c r="M774" s="5"/>
    </row>
    <row r="775">
      <c r="M775" s="5"/>
    </row>
    <row r="776">
      <c r="M776" s="5"/>
    </row>
    <row r="777">
      <c r="M777" s="5"/>
    </row>
    <row r="778">
      <c r="M778" s="5"/>
    </row>
    <row r="779">
      <c r="M779" s="5"/>
    </row>
    <row r="780">
      <c r="M780" s="5"/>
    </row>
    <row r="781">
      <c r="M781" s="5"/>
    </row>
    <row r="782">
      <c r="M782" s="5"/>
    </row>
    <row r="783">
      <c r="M783" s="5"/>
    </row>
    <row r="784">
      <c r="M784" s="5"/>
    </row>
    <row r="785">
      <c r="M785" s="5"/>
    </row>
    <row r="786">
      <c r="M786" s="5"/>
    </row>
    <row r="787">
      <c r="M787" s="5"/>
    </row>
    <row r="788">
      <c r="M788" s="5"/>
    </row>
    <row r="789">
      <c r="M789" s="5"/>
    </row>
    <row r="790">
      <c r="M790" s="5"/>
    </row>
    <row r="791">
      <c r="M791" s="5"/>
    </row>
    <row r="792">
      <c r="M792" s="5"/>
    </row>
    <row r="793">
      <c r="M793" s="5"/>
    </row>
    <row r="794">
      <c r="M794" s="5"/>
    </row>
    <row r="795">
      <c r="M795" s="5"/>
    </row>
    <row r="796">
      <c r="M796" s="5"/>
    </row>
    <row r="797">
      <c r="M797" s="5"/>
    </row>
    <row r="798">
      <c r="M798" s="5"/>
    </row>
    <row r="799">
      <c r="M799" s="5"/>
    </row>
    <row r="800">
      <c r="M800" s="5"/>
    </row>
    <row r="801">
      <c r="M801" s="5"/>
    </row>
    <row r="802">
      <c r="M802" s="5"/>
    </row>
    <row r="803">
      <c r="M803" s="5"/>
    </row>
    <row r="804">
      <c r="M804" s="5"/>
    </row>
    <row r="805">
      <c r="M805" s="5"/>
    </row>
    <row r="806">
      <c r="M806" s="5"/>
    </row>
    <row r="807">
      <c r="M807" s="5"/>
    </row>
    <row r="808">
      <c r="M808" s="5"/>
    </row>
    <row r="809">
      <c r="M809" s="5"/>
    </row>
    <row r="810">
      <c r="M810" s="5"/>
    </row>
    <row r="811">
      <c r="M811" s="5"/>
    </row>
    <row r="812">
      <c r="M812" s="5"/>
    </row>
    <row r="813">
      <c r="M813" s="5"/>
    </row>
    <row r="814">
      <c r="M814" s="5"/>
    </row>
    <row r="815">
      <c r="M815" s="5"/>
    </row>
    <row r="816">
      <c r="M816" s="5"/>
    </row>
    <row r="817">
      <c r="M817" s="5"/>
    </row>
    <row r="818">
      <c r="M818" s="5"/>
    </row>
    <row r="819">
      <c r="M819" s="5"/>
    </row>
    <row r="820">
      <c r="M820" s="5"/>
    </row>
    <row r="821">
      <c r="M821" s="5"/>
    </row>
    <row r="822">
      <c r="M822" s="5"/>
    </row>
    <row r="823">
      <c r="M823" s="5"/>
    </row>
    <row r="824">
      <c r="M824" s="5"/>
    </row>
    <row r="825">
      <c r="M825" s="5"/>
    </row>
    <row r="826">
      <c r="M826" s="5"/>
    </row>
    <row r="827">
      <c r="M827" s="5"/>
    </row>
    <row r="828">
      <c r="M828" s="5"/>
    </row>
    <row r="829">
      <c r="M829" s="5"/>
    </row>
    <row r="830">
      <c r="M830" s="5"/>
    </row>
    <row r="831">
      <c r="M831" s="5"/>
    </row>
    <row r="832">
      <c r="M832" s="5"/>
    </row>
    <row r="833">
      <c r="M833" s="5"/>
    </row>
    <row r="834">
      <c r="M834" s="5"/>
    </row>
    <row r="835">
      <c r="M835" s="5"/>
    </row>
    <row r="836">
      <c r="M836" s="5"/>
    </row>
    <row r="837">
      <c r="M837" s="5"/>
    </row>
    <row r="838">
      <c r="M838" s="5"/>
    </row>
    <row r="839">
      <c r="M839" s="5"/>
    </row>
    <row r="840">
      <c r="M840" s="5"/>
    </row>
    <row r="841">
      <c r="M841" s="5"/>
    </row>
    <row r="842">
      <c r="M842" s="5"/>
    </row>
    <row r="843">
      <c r="M843" s="5"/>
    </row>
    <row r="844">
      <c r="M844" s="5"/>
    </row>
    <row r="845">
      <c r="M845" s="5"/>
    </row>
    <row r="846">
      <c r="M846" s="5"/>
    </row>
    <row r="847">
      <c r="M847" s="5"/>
    </row>
    <row r="848">
      <c r="M848" s="5"/>
    </row>
    <row r="849">
      <c r="M849" s="5"/>
    </row>
    <row r="850">
      <c r="M850" s="5"/>
    </row>
    <row r="851">
      <c r="M851" s="5"/>
    </row>
    <row r="852">
      <c r="M852" s="5"/>
    </row>
    <row r="853">
      <c r="M853" s="5"/>
    </row>
    <row r="854">
      <c r="M854" s="5"/>
    </row>
    <row r="855">
      <c r="M855" s="5"/>
    </row>
    <row r="856">
      <c r="M856" s="5"/>
    </row>
    <row r="857">
      <c r="M857" s="5"/>
    </row>
    <row r="858">
      <c r="M858" s="5"/>
    </row>
    <row r="859">
      <c r="M859" s="5"/>
    </row>
    <row r="860">
      <c r="M860" s="5"/>
    </row>
    <row r="861">
      <c r="M861" s="5"/>
    </row>
    <row r="862">
      <c r="M862" s="5"/>
    </row>
    <row r="863">
      <c r="M863" s="5"/>
    </row>
    <row r="864">
      <c r="M864" s="5"/>
    </row>
    <row r="865">
      <c r="M865" s="5"/>
    </row>
    <row r="866">
      <c r="M866" s="5"/>
    </row>
    <row r="867">
      <c r="M867" s="5"/>
    </row>
    <row r="868">
      <c r="M868" s="5"/>
    </row>
    <row r="869">
      <c r="M869" s="5"/>
    </row>
    <row r="870">
      <c r="M870" s="5"/>
    </row>
    <row r="871">
      <c r="M871" s="5"/>
    </row>
    <row r="872">
      <c r="M872" s="5"/>
    </row>
    <row r="873">
      <c r="M873" s="5"/>
    </row>
    <row r="874">
      <c r="M874" s="5"/>
    </row>
    <row r="875">
      <c r="M875" s="5"/>
    </row>
    <row r="876">
      <c r="M876" s="5"/>
    </row>
    <row r="877">
      <c r="M877" s="5"/>
    </row>
    <row r="878">
      <c r="M878" s="5"/>
    </row>
    <row r="879">
      <c r="M879" s="5"/>
    </row>
    <row r="880">
      <c r="M880" s="5"/>
    </row>
    <row r="881">
      <c r="M881" s="5"/>
    </row>
    <row r="882">
      <c r="M882" s="5"/>
    </row>
    <row r="883">
      <c r="M883" s="5"/>
    </row>
    <row r="884">
      <c r="M884" s="5"/>
    </row>
    <row r="885">
      <c r="M885" s="5"/>
    </row>
    <row r="886">
      <c r="M886" s="5"/>
    </row>
    <row r="887">
      <c r="M887" s="5"/>
    </row>
    <row r="888">
      <c r="M888" s="5"/>
    </row>
    <row r="889">
      <c r="M889" s="5"/>
    </row>
    <row r="890">
      <c r="M890" s="5"/>
    </row>
    <row r="891">
      <c r="M891" s="5"/>
    </row>
    <row r="892">
      <c r="M892" s="5"/>
    </row>
    <row r="893">
      <c r="M893" s="5"/>
    </row>
    <row r="894">
      <c r="M894" s="5"/>
    </row>
    <row r="895">
      <c r="M895" s="5"/>
    </row>
    <row r="896">
      <c r="M896" s="5"/>
    </row>
    <row r="897">
      <c r="M897" s="5"/>
    </row>
    <row r="898">
      <c r="M898" s="5"/>
    </row>
    <row r="899">
      <c r="M899" s="5"/>
    </row>
    <row r="900">
      <c r="M900" s="5"/>
    </row>
    <row r="901">
      <c r="M901" s="5"/>
    </row>
    <row r="902">
      <c r="M902" s="5"/>
    </row>
    <row r="903">
      <c r="M903" s="5"/>
    </row>
    <row r="904">
      <c r="M904" s="5"/>
    </row>
    <row r="905">
      <c r="M905" s="5"/>
    </row>
    <row r="906">
      <c r="M906" s="5"/>
    </row>
    <row r="907">
      <c r="M907" s="5"/>
    </row>
    <row r="908">
      <c r="M908" s="5"/>
    </row>
    <row r="909">
      <c r="M909" s="5"/>
    </row>
    <row r="910">
      <c r="M910" s="5"/>
    </row>
    <row r="911">
      <c r="M911" s="5"/>
    </row>
    <row r="912">
      <c r="M912" s="5"/>
    </row>
    <row r="913">
      <c r="M913" s="5"/>
    </row>
    <row r="914">
      <c r="M914" s="5"/>
    </row>
    <row r="915">
      <c r="M915" s="5"/>
    </row>
    <row r="916">
      <c r="M916" s="5"/>
    </row>
    <row r="917">
      <c r="M917" s="5"/>
    </row>
    <row r="918">
      <c r="M918" s="5"/>
    </row>
    <row r="919">
      <c r="M919" s="5"/>
    </row>
    <row r="920">
      <c r="M920" s="5"/>
    </row>
    <row r="921">
      <c r="M921" s="5"/>
    </row>
    <row r="922">
      <c r="M922" s="5"/>
    </row>
    <row r="923">
      <c r="M923" s="5"/>
    </row>
    <row r="924">
      <c r="M924" s="5"/>
    </row>
    <row r="925">
      <c r="M925" s="5"/>
    </row>
    <row r="926">
      <c r="M926" s="5"/>
    </row>
    <row r="927">
      <c r="M927" s="5"/>
    </row>
    <row r="928">
      <c r="M928" s="5"/>
    </row>
    <row r="929">
      <c r="M929" s="5"/>
    </row>
    <row r="930">
      <c r="M930" s="5"/>
    </row>
    <row r="931">
      <c r="M931" s="5"/>
    </row>
    <row r="932">
      <c r="M932" s="5"/>
    </row>
    <row r="933">
      <c r="M933" s="5"/>
    </row>
    <row r="934">
      <c r="M934" s="5"/>
    </row>
    <row r="935">
      <c r="M935" s="5"/>
    </row>
    <row r="936">
      <c r="M936" s="5"/>
    </row>
    <row r="937">
      <c r="M937" s="5"/>
    </row>
    <row r="938">
      <c r="M938" s="5"/>
    </row>
    <row r="939">
      <c r="M939" s="5"/>
    </row>
    <row r="940">
      <c r="M940" s="5"/>
    </row>
    <row r="941">
      <c r="M941" s="5"/>
    </row>
    <row r="942">
      <c r="M942" s="5"/>
    </row>
    <row r="943">
      <c r="M943" s="5"/>
    </row>
    <row r="944">
      <c r="M944" s="5"/>
    </row>
    <row r="945">
      <c r="M945" s="5"/>
    </row>
    <row r="946">
      <c r="M946" s="5"/>
    </row>
    <row r="947">
      <c r="M947" s="5"/>
    </row>
    <row r="948">
      <c r="M948" s="5"/>
    </row>
    <row r="949">
      <c r="M949" s="5"/>
    </row>
    <row r="950">
      <c r="M950" s="5"/>
    </row>
    <row r="951">
      <c r="M951" s="5"/>
    </row>
    <row r="952">
      <c r="M952" s="5"/>
    </row>
    <row r="953">
      <c r="M953" s="5"/>
    </row>
    <row r="954">
      <c r="M954" s="5"/>
    </row>
    <row r="955">
      <c r="M955" s="5"/>
    </row>
    <row r="956">
      <c r="M956" s="5"/>
    </row>
    <row r="957">
      <c r="M957" s="5"/>
    </row>
    <row r="958">
      <c r="M958" s="5"/>
    </row>
    <row r="959">
      <c r="M959" s="5"/>
    </row>
    <row r="960">
      <c r="M960" s="5"/>
    </row>
    <row r="961">
      <c r="M961" s="5"/>
    </row>
    <row r="962">
      <c r="M962" s="5"/>
    </row>
    <row r="963">
      <c r="M963" s="5"/>
    </row>
    <row r="964">
      <c r="M964" s="5"/>
    </row>
    <row r="965">
      <c r="M965" s="5"/>
    </row>
    <row r="966">
      <c r="M966" s="5"/>
    </row>
    <row r="967">
      <c r="M967" s="5"/>
    </row>
    <row r="968">
      <c r="M968" s="5"/>
    </row>
    <row r="969">
      <c r="M969" s="5"/>
    </row>
    <row r="970">
      <c r="M970" s="5"/>
    </row>
    <row r="971">
      <c r="M971" s="5"/>
    </row>
    <row r="972">
      <c r="M972" s="5"/>
    </row>
    <row r="973">
      <c r="M973" s="5"/>
    </row>
    <row r="974">
      <c r="M974" s="5"/>
    </row>
    <row r="975">
      <c r="M975" s="5"/>
    </row>
    <row r="976">
      <c r="M976" s="5"/>
    </row>
    <row r="977">
      <c r="M977" s="5"/>
    </row>
    <row r="978">
      <c r="M978" s="5"/>
    </row>
    <row r="979">
      <c r="M979" s="5"/>
    </row>
    <row r="980">
      <c r="M980" s="5"/>
    </row>
    <row r="981">
      <c r="M981" s="5"/>
    </row>
    <row r="982">
      <c r="M982" s="5"/>
    </row>
    <row r="983">
      <c r="M983" s="5"/>
    </row>
    <row r="984">
      <c r="M984" s="5"/>
    </row>
    <row r="985">
      <c r="M985" s="5"/>
    </row>
    <row r="986">
      <c r="M986" s="5"/>
    </row>
    <row r="987">
      <c r="M987" s="5"/>
    </row>
    <row r="988">
      <c r="M988" s="5"/>
    </row>
    <row r="989">
      <c r="M989" s="5"/>
    </row>
    <row r="990">
      <c r="M990" s="5"/>
    </row>
    <row r="991">
      <c r="M991" s="5"/>
    </row>
    <row r="992">
      <c r="M992" s="5"/>
    </row>
    <row r="993">
      <c r="M993" s="5"/>
    </row>
    <row r="994">
      <c r="M994" s="5"/>
    </row>
    <row r="995">
      <c r="M995" s="5"/>
    </row>
    <row r="996">
      <c r="M996" s="5"/>
    </row>
    <row r="997">
      <c r="M997" s="5"/>
    </row>
    <row r="998">
      <c r="M998" s="5"/>
    </row>
    <row r="999">
      <c r="M999" s="5"/>
    </row>
    <row r="1000">
      <c r="M1000" s="5"/>
    </row>
    <row r="1001">
      <c r="M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  <c r="G1" s="5" t="s">
        <v>75</v>
      </c>
      <c r="H1" s="5" t="s">
        <v>76</v>
      </c>
      <c r="I1" s="5" t="s">
        <v>77</v>
      </c>
      <c r="J1" s="5" t="s">
        <v>78</v>
      </c>
      <c r="K1" s="5" t="s">
        <v>79</v>
      </c>
      <c r="L1" s="5" t="s">
        <v>80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">
        <v>81</v>
      </c>
      <c r="B2" s="10">
        <v>127.0</v>
      </c>
      <c r="C2" s="10">
        <v>50.0</v>
      </c>
      <c r="D2" s="10">
        <v>35.0</v>
      </c>
      <c r="E2" s="10">
        <v>25.0</v>
      </c>
      <c r="F2" s="10">
        <v>17.0</v>
      </c>
      <c r="G2" s="10">
        <v>15.0</v>
      </c>
      <c r="H2" s="10">
        <v>14.0</v>
      </c>
      <c r="I2" s="10">
        <v>13.0</v>
      </c>
      <c r="J2" s="10">
        <v>12.5</v>
      </c>
      <c r="K2" s="10">
        <v>11.0</v>
      </c>
      <c r="L2" s="10">
        <v>9.0</v>
      </c>
    </row>
    <row r="3">
      <c r="A3" s="5" t="s">
        <v>82</v>
      </c>
      <c r="B3" s="10">
        <v>125.0</v>
      </c>
      <c r="C3" s="10">
        <v>40.0</v>
      </c>
      <c r="D3" s="10">
        <v>27.0</v>
      </c>
      <c r="E3" s="10">
        <v>20.0</v>
      </c>
      <c r="F3" s="10">
        <v>16.0</v>
      </c>
      <c r="G3" s="10">
        <v>14.0</v>
      </c>
      <c r="H3" s="10">
        <v>12.0</v>
      </c>
      <c r="I3" s="10">
        <v>11.0</v>
      </c>
      <c r="J3" s="10">
        <v>10.0</v>
      </c>
      <c r="K3" s="10">
        <v>9.0</v>
      </c>
      <c r="L3" s="10">
        <v>8.0</v>
      </c>
    </row>
    <row r="4">
      <c r="A4" s="5" t="s">
        <v>83</v>
      </c>
      <c r="B4" s="10">
        <v>123.0</v>
      </c>
      <c r="C4" s="10">
        <v>32.0</v>
      </c>
      <c r="D4" s="10">
        <v>24.0</v>
      </c>
      <c r="E4" s="10">
        <v>19.0</v>
      </c>
      <c r="F4" s="10">
        <v>15.0</v>
      </c>
      <c r="G4" s="10">
        <v>13.0</v>
      </c>
      <c r="H4" s="10">
        <v>11.0</v>
      </c>
      <c r="I4" s="10">
        <v>10.0</v>
      </c>
      <c r="J4" s="10">
        <v>9.5</v>
      </c>
      <c r="K4" s="10">
        <v>8.5</v>
      </c>
      <c r="L4" s="10">
        <v>7.5</v>
      </c>
    </row>
    <row r="5">
      <c r="A5" s="5" t="s">
        <v>84</v>
      </c>
      <c r="B5" s="10">
        <v>120.0</v>
      </c>
      <c r="C5" s="10">
        <v>25.0</v>
      </c>
      <c r="D5" s="10">
        <v>22.0</v>
      </c>
      <c r="E5" s="10">
        <v>18.0</v>
      </c>
      <c r="F5" s="10">
        <v>14.0</v>
      </c>
      <c r="G5" s="10">
        <v>12.0</v>
      </c>
      <c r="H5" s="10">
        <v>10.5</v>
      </c>
      <c r="I5" s="10">
        <v>9.5</v>
      </c>
      <c r="J5" s="10">
        <v>8.5</v>
      </c>
      <c r="K5" s="10">
        <v>7.0</v>
      </c>
      <c r="L5" s="10">
        <v>6.0</v>
      </c>
    </row>
    <row r="6">
      <c r="A6" s="5" t="s">
        <v>85</v>
      </c>
      <c r="B6" s="10">
        <v>110.0</v>
      </c>
      <c r="C6" s="10">
        <v>20.0</v>
      </c>
      <c r="D6" s="10">
        <v>18.0</v>
      </c>
      <c r="E6" s="10">
        <v>17.0</v>
      </c>
      <c r="F6" s="10">
        <v>13.0</v>
      </c>
      <c r="G6" s="10">
        <v>11.0</v>
      </c>
      <c r="H6" s="10">
        <v>10.0</v>
      </c>
      <c r="I6" s="10">
        <v>9.0</v>
      </c>
      <c r="J6" s="10">
        <v>7.75</v>
      </c>
      <c r="K6" s="10">
        <v>6.75</v>
      </c>
      <c r="L6" s="10">
        <v>5.5</v>
      </c>
    </row>
    <row r="7">
      <c r="A7" s="5" t="s">
        <v>86</v>
      </c>
      <c r="B7" s="10">
        <v>95.0</v>
      </c>
      <c r="C7" s="10">
        <v>17.0</v>
      </c>
      <c r="D7" s="10">
        <v>15.0</v>
      </c>
      <c r="E7" s="10">
        <v>14.0</v>
      </c>
      <c r="F7" s="10">
        <v>12.0</v>
      </c>
      <c r="G7" s="10">
        <v>10.0</v>
      </c>
      <c r="H7" s="10">
        <v>9.0</v>
      </c>
      <c r="I7" s="10">
        <v>8.0</v>
      </c>
      <c r="J7" s="10">
        <v>7.25</v>
      </c>
      <c r="K7" s="10">
        <v>6.5</v>
      </c>
      <c r="L7" s="10">
        <v>5.25</v>
      </c>
    </row>
    <row r="8">
      <c r="A8" s="5" t="s">
        <v>87</v>
      </c>
      <c r="B8" s="10">
        <v>80.0</v>
      </c>
      <c r="C8" s="10">
        <v>16.0</v>
      </c>
      <c r="D8" s="10">
        <v>14.0</v>
      </c>
      <c r="E8" s="10">
        <v>13.0</v>
      </c>
      <c r="F8" s="10">
        <v>11.0</v>
      </c>
      <c r="G8" s="10">
        <v>9.0</v>
      </c>
      <c r="H8" s="10">
        <v>8.0</v>
      </c>
      <c r="I8" s="10">
        <v>7.5</v>
      </c>
      <c r="J8" s="10">
        <v>7.0</v>
      </c>
      <c r="K8" s="10">
        <v>6.25</v>
      </c>
      <c r="L8" s="10">
        <v>5.125</v>
      </c>
    </row>
    <row r="9">
      <c r="A9" s="5" t="s">
        <v>88</v>
      </c>
      <c r="B9" s="10">
        <v>71.0</v>
      </c>
      <c r="C9" s="10">
        <v>15.0</v>
      </c>
      <c r="D9" s="10">
        <v>13.0</v>
      </c>
      <c r="E9" s="10">
        <v>12.0</v>
      </c>
      <c r="F9" s="10">
        <v>10.0</v>
      </c>
      <c r="G9" s="10">
        <v>7.5</v>
      </c>
      <c r="H9" s="10">
        <v>6.75</v>
      </c>
      <c r="I9" s="10">
        <v>6.5</v>
      </c>
      <c r="J9" s="10">
        <v>6.25</v>
      </c>
      <c r="K9" s="10">
        <v>6.0</v>
      </c>
      <c r="L9" s="10">
        <v>5.0</v>
      </c>
    </row>
    <row r="10">
      <c r="A10" s="5" t="s">
        <v>89</v>
      </c>
      <c r="B10" s="10">
        <v>63.0</v>
      </c>
      <c r="C10" s="10">
        <v>14.0</v>
      </c>
      <c r="D10" s="10">
        <v>12.0</v>
      </c>
      <c r="E10" s="10">
        <v>10.0</v>
      </c>
      <c r="F10" s="10">
        <v>9.25</v>
      </c>
      <c r="G10" s="10">
        <v>6.0</v>
      </c>
      <c r="H10" s="10">
        <v>5.75</v>
      </c>
      <c r="I10" s="10">
        <v>5.5</v>
      </c>
      <c r="J10" s="10">
        <v>5.375</v>
      </c>
      <c r="K10" s="10">
        <v>5.125</v>
      </c>
      <c r="L10" s="10">
        <v>4.9</v>
      </c>
    </row>
    <row r="11">
      <c r="A11" s="5" t="s">
        <v>90</v>
      </c>
      <c r="B11" s="10">
        <v>54.0</v>
      </c>
      <c r="C11" s="10">
        <v>13.0</v>
      </c>
      <c r="D11" s="10">
        <v>11.0</v>
      </c>
      <c r="E11" s="10">
        <v>9.5</v>
      </c>
      <c r="F11" s="10">
        <v>9.0</v>
      </c>
      <c r="G11" s="10">
        <v>5.0</v>
      </c>
      <c r="H11" s="10">
        <v>4.75</v>
      </c>
      <c r="I11" s="10">
        <v>4.5</v>
      </c>
      <c r="J11" s="10">
        <v>4.25</v>
      </c>
      <c r="K11" s="10">
        <v>4.125</v>
      </c>
      <c r="L11" s="10">
        <v>4.0</v>
      </c>
    </row>
    <row r="12">
      <c r="A12" s="5" t="s">
        <v>91</v>
      </c>
      <c r="B12" s="10">
        <v>47.0</v>
      </c>
      <c r="C12" s="10">
        <v>12.5</v>
      </c>
      <c r="D12" s="10">
        <v>10.5</v>
      </c>
      <c r="E12" s="10">
        <v>9.0</v>
      </c>
      <c r="F12" s="10">
        <v>8.0</v>
      </c>
      <c r="G12" s="10">
        <v>4.5</v>
      </c>
      <c r="H12" s="10">
        <v>4.375</v>
      </c>
      <c r="I12" s="10">
        <v>4.25</v>
      </c>
      <c r="J12" s="10">
        <v>4.15</v>
      </c>
      <c r="K12" s="10">
        <v>4.0</v>
      </c>
      <c r="L12" s="10">
        <v>3.875</v>
      </c>
    </row>
    <row r="13">
      <c r="A13" s="5" t="s">
        <v>92</v>
      </c>
      <c r="B13" s="10">
        <v>41.0</v>
      </c>
      <c r="C13" s="10">
        <v>12.0</v>
      </c>
      <c r="D13" s="10">
        <v>10.0</v>
      </c>
      <c r="E13" s="10">
        <v>8.0</v>
      </c>
      <c r="F13" s="10">
        <v>7.0</v>
      </c>
      <c r="G13" s="10">
        <v>4.0</v>
      </c>
      <c r="H13" s="10">
        <v>3.875</v>
      </c>
      <c r="I13" s="10">
        <v>3.75</v>
      </c>
      <c r="J13" s="10">
        <v>3.625</v>
      </c>
      <c r="K13" s="10">
        <v>3.5</v>
      </c>
      <c r="L13" s="10">
        <v>3.4</v>
      </c>
    </row>
    <row r="14">
      <c r="A14" s="5" t="s">
        <v>93</v>
      </c>
      <c r="B14" s="10">
        <v>36.0</v>
      </c>
      <c r="C14" s="10">
        <v>11.0</v>
      </c>
      <c r="D14" s="10">
        <v>9.5</v>
      </c>
      <c r="E14" s="10">
        <v>7.5</v>
      </c>
      <c r="F14" s="10">
        <v>6.0</v>
      </c>
      <c r="G14" s="10">
        <v>3.75</v>
      </c>
      <c r="H14" s="10">
        <v>3.5</v>
      </c>
      <c r="I14" s="10">
        <v>3.375</v>
      </c>
      <c r="J14" s="10">
        <v>3.125</v>
      </c>
      <c r="K14" s="10">
        <v>3.0</v>
      </c>
      <c r="L14" s="10">
        <v>2.9</v>
      </c>
    </row>
    <row r="15">
      <c r="A15" s="5" t="s">
        <v>94</v>
      </c>
      <c r="B15" s="10">
        <v>33.0</v>
      </c>
      <c r="C15" s="10">
        <v>10.0</v>
      </c>
      <c r="D15" s="10">
        <v>9.0</v>
      </c>
      <c r="E15" s="10">
        <v>7.0</v>
      </c>
      <c r="F15" s="10">
        <v>5.5</v>
      </c>
      <c r="G15" s="10">
        <v>3.25</v>
      </c>
      <c r="H15" s="10">
        <v>3.125</v>
      </c>
      <c r="I15" s="10">
        <v>3.0</v>
      </c>
      <c r="J15" s="10">
        <v>2.9</v>
      </c>
      <c r="K15" s="10">
        <v>2.88</v>
      </c>
      <c r="L15" s="10">
        <v>2.8</v>
      </c>
    </row>
    <row r="16">
      <c r="A16" s="5" t="s">
        <v>95</v>
      </c>
      <c r="B16" s="10">
        <v>30.0</v>
      </c>
      <c r="C16" s="10">
        <v>9.0</v>
      </c>
      <c r="D16" s="10">
        <v>8.5</v>
      </c>
      <c r="E16" s="10">
        <v>6.5</v>
      </c>
      <c r="F16" s="10">
        <v>5.0</v>
      </c>
      <c r="G16" s="10">
        <v>3.0</v>
      </c>
      <c r="H16" s="10">
        <v>2.8</v>
      </c>
      <c r="I16" s="10">
        <v>2.75</v>
      </c>
      <c r="J16" s="10">
        <v>2.7</v>
      </c>
      <c r="K16" s="10">
        <v>2.67</v>
      </c>
      <c r="L16" s="10">
        <v>2.6</v>
      </c>
    </row>
    <row r="17">
      <c r="A17" s="12" t="s">
        <v>96</v>
      </c>
      <c r="B17" s="10">
        <v>28.0</v>
      </c>
      <c r="C17" s="10">
        <v>7.0</v>
      </c>
      <c r="D17" s="10">
        <v>6.8</v>
      </c>
      <c r="E17" s="10">
        <v>6.3</v>
      </c>
      <c r="F17" s="10">
        <v>4.9</v>
      </c>
      <c r="G17" s="10">
        <v>2.75</v>
      </c>
      <c r="H17" s="10">
        <v>2.6</v>
      </c>
      <c r="I17" s="10">
        <v>2.55</v>
      </c>
      <c r="J17" s="10">
        <v>2.5</v>
      </c>
      <c r="K17" s="10">
        <v>2.45</v>
      </c>
      <c r="L17" s="10">
        <v>2.4</v>
      </c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17</v>
      </c>
      <c r="B1" s="18" t="s">
        <v>97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9">
        <v>0.0</v>
      </c>
      <c r="B2" s="19">
        <v>2800.0</v>
      </c>
    </row>
    <row r="3">
      <c r="A3" s="19">
        <v>10.0</v>
      </c>
      <c r="B3" s="19">
        <v>3050.0</v>
      </c>
    </row>
    <row r="4">
      <c r="A4" s="19">
        <v>20.0</v>
      </c>
      <c r="B4" s="19">
        <v>3140.0</v>
      </c>
    </row>
    <row r="5">
      <c r="A5" s="19">
        <v>30.0</v>
      </c>
      <c r="B5" s="19">
        <v>3200.0</v>
      </c>
    </row>
    <row r="6">
      <c r="A6" s="19">
        <v>40.0</v>
      </c>
      <c r="B6" s="19">
        <v>3220.0</v>
      </c>
    </row>
    <row r="7">
      <c r="A7" s="19">
        <v>50.0</v>
      </c>
      <c r="B7" s="19">
        <v>3230.0</v>
      </c>
    </row>
    <row r="8">
      <c r="A8" s="19">
        <v>60.0</v>
      </c>
      <c r="B8" s="19">
        <v>3245.0</v>
      </c>
    </row>
    <row r="9">
      <c r="A9" s="19">
        <v>70.0</v>
      </c>
      <c r="B9" s="19">
        <v>3250.0</v>
      </c>
    </row>
    <row r="10">
      <c r="A10" s="19">
        <v>80.0</v>
      </c>
      <c r="B10" s="19">
        <v>3270.0</v>
      </c>
    </row>
    <row r="11">
      <c r="A11" s="19">
        <v>90.0</v>
      </c>
      <c r="B11" s="19">
        <v>3300.0</v>
      </c>
    </row>
    <row r="12">
      <c r="A12" s="19">
        <v>100.0</v>
      </c>
      <c r="B12" s="19">
        <v>3380.0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1" t="str">
        <f t="shared" ref="B1:L1" si="1">"SOC = "&amp;10*(COLUMN()-2)&amp;" [%]"</f>
        <v>SOC = 0 [%]</v>
      </c>
      <c r="C1" s="21" t="str">
        <f t="shared" si="1"/>
        <v>SOC = 10 [%]</v>
      </c>
      <c r="D1" s="21" t="str">
        <f t="shared" si="1"/>
        <v>SOC = 20 [%]</v>
      </c>
      <c r="E1" s="21" t="str">
        <f t="shared" si="1"/>
        <v>SOC = 30 [%]</v>
      </c>
      <c r="F1" s="21" t="str">
        <f t="shared" si="1"/>
        <v>SOC = 40 [%]</v>
      </c>
      <c r="G1" s="21" t="str">
        <f t="shared" si="1"/>
        <v>SOC = 50 [%]</v>
      </c>
      <c r="H1" s="21" t="str">
        <f t="shared" si="1"/>
        <v>SOC = 60 [%]</v>
      </c>
      <c r="I1" s="21" t="str">
        <f t="shared" si="1"/>
        <v>SOC = 70 [%]</v>
      </c>
      <c r="J1" s="21" t="str">
        <f t="shared" si="1"/>
        <v>SOC = 80 [%]</v>
      </c>
      <c r="K1" s="21" t="str">
        <f t="shared" si="1"/>
        <v>SOC = 90 [%]</v>
      </c>
      <c r="L1" s="21" t="str">
        <f t="shared" si="1"/>
        <v>SOC = 100 [%]</v>
      </c>
    </row>
    <row r="2">
      <c r="A2" s="21" t="str">
        <f t="shared" ref="A2:A17" si="2">"I= "&amp;1*(row()-1)&amp;" [A]"</f>
        <v>I= 1 [A]</v>
      </c>
      <c r="B2" s="22">
        <f>0.85*150</f>
        <v>127.5</v>
      </c>
      <c r="C2" s="22">
        <v>120.0</v>
      </c>
      <c r="D2" s="22">
        <v>40.0</v>
      </c>
      <c r="E2" s="22">
        <f t="shared" ref="E2:E17" si="3">D2+5</f>
        <v>45</v>
      </c>
      <c r="F2" s="22">
        <f t="shared" ref="F2:F17" si="4">E2+3</f>
        <v>48</v>
      </c>
      <c r="G2" s="22">
        <f t="shared" ref="G2:G17" si="5">F2-2</f>
        <v>46</v>
      </c>
      <c r="H2" s="22">
        <f t="shared" ref="H2:H17" si="6">G2-5</f>
        <v>41</v>
      </c>
      <c r="I2" s="22">
        <f t="shared" ref="I2:I4" si="7">H2-7</f>
        <v>34</v>
      </c>
      <c r="J2" s="22">
        <f t="shared" ref="J2:J3" si="8">I2-3</f>
        <v>31</v>
      </c>
      <c r="K2" s="22">
        <f t="shared" ref="K2:K3" si="9">J2+1</f>
        <v>32</v>
      </c>
      <c r="L2" s="22">
        <f t="shared" ref="L2:L3" si="10">K2-2</f>
        <v>30</v>
      </c>
    </row>
    <row r="3">
      <c r="A3" s="21" t="str">
        <f t="shared" si="2"/>
        <v>I= 2 [A]</v>
      </c>
      <c r="B3" s="22">
        <v>110.0</v>
      </c>
      <c r="C3" s="22">
        <v>105.0</v>
      </c>
      <c r="D3" s="22">
        <v>30.0</v>
      </c>
      <c r="E3" s="22">
        <f t="shared" si="3"/>
        <v>35</v>
      </c>
      <c r="F3" s="22">
        <f t="shared" si="4"/>
        <v>38</v>
      </c>
      <c r="G3" s="22">
        <f t="shared" si="5"/>
        <v>36</v>
      </c>
      <c r="H3" s="22">
        <f t="shared" si="6"/>
        <v>31</v>
      </c>
      <c r="I3" s="22">
        <f t="shared" si="7"/>
        <v>24</v>
      </c>
      <c r="J3" s="22">
        <f t="shared" si="8"/>
        <v>21</v>
      </c>
      <c r="K3" s="22">
        <f t="shared" si="9"/>
        <v>22</v>
      </c>
      <c r="L3" s="22">
        <f t="shared" si="10"/>
        <v>20</v>
      </c>
    </row>
    <row r="4">
      <c r="A4" s="21" t="str">
        <f t="shared" si="2"/>
        <v>I= 3 [A]</v>
      </c>
      <c r="B4" s="22">
        <v>93.0</v>
      </c>
      <c r="C4" s="22">
        <v>85.0</v>
      </c>
      <c r="D4" s="22">
        <v>20.0</v>
      </c>
      <c r="E4" s="22">
        <f t="shared" si="3"/>
        <v>25</v>
      </c>
      <c r="F4" s="22">
        <f t="shared" si="4"/>
        <v>28</v>
      </c>
      <c r="G4" s="22">
        <f t="shared" si="5"/>
        <v>26</v>
      </c>
      <c r="H4" s="22">
        <f t="shared" si="6"/>
        <v>21</v>
      </c>
      <c r="I4" s="22">
        <f t="shared" si="7"/>
        <v>14</v>
      </c>
      <c r="J4" s="22">
        <f>I4-1.5</f>
        <v>12.5</v>
      </c>
      <c r="K4" s="22">
        <f t="shared" ref="K4:K6" si="11">J4+1.5</f>
        <v>14</v>
      </c>
      <c r="L4" s="22">
        <f t="shared" ref="L4:L7" si="12">K4-2.5</f>
        <v>11.5</v>
      </c>
    </row>
    <row r="5">
      <c r="A5" s="21" t="str">
        <f t="shared" si="2"/>
        <v>I= 4 [A]</v>
      </c>
      <c r="B5" s="22">
        <v>80.0</v>
      </c>
      <c r="C5" s="22">
        <v>72.0</v>
      </c>
      <c r="D5" s="22">
        <v>12.0</v>
      </c>
      <c r="E5" s="22">
        <f t="shared" si="3"/>
        <v>17</v>
      </c>
      <c r="F5" s="22">
        <f t="shared" si="4"/>
        <v>20</v>
      </c>
      <c r="G5" s="22">
        <f t="shared" si="5"/>
        <v>18</v>
      </c>
      <c r="H5" s="22">
        <f t="shared" si="6"/>
        <v>13</v>
      </c>
      <c r="I5" s="22">
        <f t="shared" ref="I5:I6" si="13">H5-3</f>
        <v>10</v>
      </c>
      <c r="J5" s="22">
        <f t="shared" ref="J5:J6" si="14">I5-2</f>
        <v>8</v>
      </c>
      <c r="K5" s="22">
        <f t="shared" si="11"/>
        <v>9.5</v>
      </c>
      <c r="L5" s="22">
        <f t="shared" si="12"/>
        <v>7</v>
      </c>
    </row>
    <row r="6">
      <c r="A6" s="21" t="str">
        <f t="shared" si="2"/>
        <v>I= 5 [A]</v>
      </c>
      <c r="B6" s="22">
        <v>72.0</v>
      </c>
      <c r="C6" s="22">
        <f t="shared" ref="C6:C17" si="15">B6*(C5/B5)</f>
        <v>64.8</v>
      </c>
      <c r="D6" s="22">
        <v>8.0</v>
      </c>
      <c r="E6" s="22">
        <f t="shared" si="3"/>
        <v>13</v>
      </c>
      <c r="F6" s="22">
        <f t="shared" si="4"/>
        <v>16</v>
      </c>
      <c r="G6" s="22">
        <f t="shared" si="5"/>
        <v>14</v>
      </c>
      <c r="H6" s="22">
        <f t="shared" si="6"/>
        <v>9</v>
      </c>
      <c r="I6" s="22">
        <f t="shared" si="13"/>
        <v>6</v>
      </c>
      <c r="J6" s="22">
        <f t="shared" si="14"/>
        <v>4</v>
      </c>
      <c r="K6" s="22">
        <f t="shared" si="11"/>
        <v>5.5</v>
      </c>
      <c r="L6" s="22">
        <f t="shared" si="12"/>
        <v>3</v>
      </c>
    </row>
    <row r="7">
      <c r="A7" s="21" t="str">
        <f t="shared" si="2"/>
        <v>I= 6 [A]</v>
      </c>
      <c r="B7" s="22">
        <v>65.0</v>
      </c>
      <c r="C7" s="22">
        <f t="shared" si="15"/>
        <v>58.5</v>
      </c>
      <c r="D7" s="22">
        <v>6.0</v>
      </c>
      <c r="E7" s="22">
        <f t="shared" si="3"/>
        <v>11</v>
      </c>
      <c r="F7" s="22">
        <f t="shared" si="4"/>
        <v>14</v>
      </c>
      <c r="G7" s="22">
        <f t="shared" si="5"/>
        <v>12</v>
      </c>
      <c r="H7" s="22">
        <f t="shared" si="6"/>
        <v>7</v>
      </c>
      <c r="I7" s="22">
        <f t="shared" ref="I7:I8" si="16">H7-2</f>
        <v>5</v>
      </c>
      <c r="J7" s="22">
        <f t="shared" ref="J7:J11" si="17">I7-1.5</f>
        <v>3.5</v>
      </c>
      <c r="K7" s="22">
        <f t="shared" ref="K7:K11" si="18">J7+1.75</f>
        <v>5.25</v>
      </c>
      <c r="L7" s="22">
        <f t="shared" si="12"/>
        <v>2.75</v>
      </c>
    </row>
    <row r="8">
      <c r="A8" s="21" t="str">
        <f t="shared" si="2"/>
        <v>I= 7 [A]</v>
      </c>
      <c r="B8" s="22">
        <v>58.0</v>
      </c>
      <c r="C8" s="22">
        <f t="shared" si="15"/>
        <v>52.2</v>
      </c>
      <c r="D8" s="22">
        <v>5.0</v>
      </c>
      <c r="E8" s="22">
        <f t="shared" si="3"/>
        <v>10</v>
      </c>
      <c r="F8" s="22">
        <f t="shared" si="4"/>
        <v>13</v>
      </c>
      <c r="G8" s="22">
        <f t="shared" si="5"/>
        <v>11</v>
      </c>
      <c r="H8" s="22">
        <f t="shared" si="6"/>
        <v>6</v>
      </c>
      <c r="I8" s="22">
        <f t="shared" si="16"/>
        <v>4</v>
      </c>
      <c r="J8" s="22">
        <f t="shared" si="17"/>
        <v>2.5</v>
      </c>
      <c r="K8" s="22">
        <f t="shared" si="18"/>
        <v>4.25</v>
      </c>
      <c r="L8" s="22">
        <f>K8-2</f>
        <v>2.25</v>
      </c>
    </row>
    <row r="9">
      <c r="A9" s="21" t="str">
        <f t="shared" si="2"/>
        <v>I= 8 [A]</v>
      </c>
      <c r="B9" s="22">
        <v>51.0</v>
      </c>
      <c r="C9" s="22">
        <f t="shared" si="15"/>
        <v>45.9</v>
      </c>
      <c r="D9" s="22">
        <v>4.0</v>
      </c>
      <c r="E9" s="22">
        <f t="shared" si="3"/>
        <v>9</v>
      </c>
      <c r="F9" s="22">
        <f t="shared" si="4"/>
        <v>12</v>
      </c>
      <c r="G9" s="22">
        <f t="shared" si="5"/>
        <v>10</v>
      </c>
      <c r="H9" s="22">
        <f t="shared" si="6"/>
        <v>5</v>
      </c>
      <c r="I9" s="22">
        <f>H9-1.25</f>
        <v>3.75</v>
      </c>
      <c r="J9" s="22">
        <f t="shared" si="17"/>
        <v>2.25</v>
      </c>
      <c r="K9" s="22">
        <f t="shared" si="18"/>
        <v>4</v>
      </c>
      <c r="L9" s="22">
        <f t="shared" ref="L9:L11" si="19">K9-1.75</f>
        <v>2.25</v>
      </c>
    </row>
    <row r="10">
      <c r="A10" s="21" t="str">
        <f t="shared" si="2"/>
        <v>I= 9 [A]</v>
      </c>
      <c r="B10" s="22">
        <v>44.0</v>
      </c>
      <c r="C10" s="22">
        <f t="shared" si="15"/>
        <v>39.6</v>
      </c>
      <c r="D10" s="22">
        <v>4.0</v>
      </c>
      <c r="E10" s="22">
        <f t="shared" si="3"/>
        <v>9</v>
      </c>
      <c r="F10" s="22">
        <f t="shared" si="4"/>
        <v>12</v>
      </c>
      <c r="G10" s="22">
        <f t="shared" si="5"/>
        <v>10</v>
      </c>
      <c r="H10" s="22">
        <f t="shared" si="6"/>
        <v>5</v>
      </c>
      <c r="I10" s="22">
        <f t="shared" ref="I10:I17" si="20">H10-2</f>
        <v>3</v>
      </c>
      <c r="J10" s="22">
        <f t="shared" si="17"/>
        <v>1.5</v>
      </c>
      <c r="K10" s="22">
        <f t="shared" si="18"/>
        <v>3.25</v>
      </c>
      <c r="L10" s="22">
        <f t="shared" si="19"/>
        <v>1.5</v>
      </c>
    </row>
    <row r="11">
      <c r="A11" s="21" t="str">
        <f t="shared" si="2"/>
        <v>I= 10 [A]</v>
      </c>
      <c r="B11" s="22">
        <v>40.0</v>
      </c>
      <c r="C11" s="22">
        <f t="shared" si="15"/>
        <v>36</v>
      </c>
      <c r="D11" s="22">
        <v>3.75</v>
      </c>
      <c r="E11" s="22">
        <f t="shared" si="3"/>
        <v>8.75</v>
      </c>
      <c r="F11" s="22">
        <f t="shared" si="4"/>
        <v>11.75</v>
      </c>
      <c r="G11" s="22">
        <f t="shared" si="5"/>
        <v>9.75</v>
      </c>
      <c r="H11" s="22">
        <f t="shared" si="6"/>
        <v>4.75</v>
      </c>
      <c r="I11" s="22">
        <f t="shared" si="20"/>
        <v>2.75</v>
      </c>
      <c r="J11" s="22">
        <f t="shared" si="17"/>
        <v>1.25</v>
      </c>
      <c r="K11" s="22">
        <f t="shared" si="18"/>
        <v>3</v>
      </c>
      <c r="L11" s="22">
        <f t="shared" si="19"/>
        <v>1.25</v>
      </c>
    </row>
    <row r="12">
      <c r="A12" s="21" t="str">
        <f t="shared" si="2"/>
        <v>I= 11 [A]</v>
      </c>
      <c r="B12" s="22">
        <v>36.0</v>
      </c>
      <c r="C12" s="22">
        <f t="shared" si="15"/>
        <v>32.4</v>
      </c>
      <c r="D12" s="22">
        <v>3.5</v>
      </c>
      <c r="E12" s="22">
        <f t="shared" si="3"/>
        <v>8.5</v>
      </c>
      <c r="F12" s="22">
        <f t="shared" si="4"/>
        <v>11.5</v>
      </c>
      <c r="G12" s="22">
        <f t="shared" si="5"/>
        <v>9.5</v>
      </c>
      <c r="H12" s="22">
        <f t="shared" si="6"/>
        <v>4.5</v>
      </c>
      <c r="I12" s="22">
        <f t="shared" si="20"/>
        <v>2.5</v>
      </c>
      <c r="J12" s="22">
        <f t="shared" ref="J12:J13" si="21">I12-1</f>
        <v>1.5</v>
      </c>
      <c r="K12" s="22">
        <f t="shared" ref="K12:K17" si="22">J12+1.8</f>
        <v>3.3</v>
      </c>
      <c r="L12" s="22">
        <f t="shared" ref="L12:L17" si="23">K12-1.25</f>
        <v>2.05</v>
      </c>
    </row>
    <row r="13">
      <c r="A13" s="21" t="str">
        <f t="shared" si="2"/>
        <v>I= 12 [A]</v>
      </c>
      <c r="B13" s="22">
        <v>33.0</v>
      </c>
      <c r="C13" s="22">
        <f t="shared" si="15"/>
        <v>29.7</v>
      </c>
      <c r="D13" s="22">
        <v>3.25</v>
      </c>
      <c r="E13" s="22">
        <f t="shared" si="3"/>
        <v>8.25</v>
      </c>
      <c r="F13" s="22">
        <f t="shared" si="4"/>
        <v>11.25</v>
      </c>
      <c r="G13" s="22">
        <f t="shared" si="5"/>
        <v>9.25</v>
      </c>
      <c r="H13" s="22">
        <f t="shared" si="6"/>
        <v>4.25</v>
      </c>
      <c r="I13" s="22">
        <f t="shared" si="20"/>
        <v>2.25</v>
      </c>
      <c r="J13" s="22">
        <f t="shared" si="21"/>
        <v>1.25</v>
      </c>
      <c r="K13" s="22">
        <f t="shared" si="22"/>
        <v>3.05</v>
      </c>
      <c r="L13" s="22">
        <f t="shared" si="23"/>
        <v>1.8</v>
      </c>
    </row>
    <row r="14">
      <c r="A14" s="21" t="str">
        <f t="shared" si="2"/>
        <v>I= 13 [A]</v>
      </c>
      <c r="B14" s="22">
        <v>30.0</v>
      </c>
      <c r="C14" s="22">
        <f t="shared" si="15"/>
        <v>27</v>
      </c>
      <c r="D14" s="22">
        <v>3.125</v>
      </c>
      <c r="E14" s="22">
        <f t="shared" si="3"/>
        <v>8.125</v>
      </c>
      <c r="F14" s="22">
        <f t="shared" si="4"/>
        <v>11.125</v>
      </c>
      <c r="G14" s="22">
        <f t="shared" si="5"/>
        <v>9.125</v>
      </c>
      <c r="H14" s="22">
        <f t="shared" si="6"/>
        <v>4.125</v>
      </c>
      <c r="I14" s="22">
        <f t="shared" si="20"/>
        <v>2.125</v>
      </c>
      <c r="J14" s="22">
        <f t="shared" ref="J14:J17" si="24">I14-0.65</f>
        <v>1.475</v>
      </c>
      <c r="K14" s="22">
        <f t="shared" si="22"/>
        <v>3.275</v>
      </c>
      <c r="L14" s="22">
        <f t="shared" si="23"/>
        <v>2.025</v>
      </c>
    </row>
    <row r="15">
      <c r="A15" s="21" t="str">
        <f t="shared" si="2"/>
        <v>I= 14 [A]</v>
      </c>
      <c r="B15" s="22">
        <v>28.0</v>
      </c>
      <c r="C15" s="22">
        <f t="shared" si="15"/>
        <v>25.2</v>
      </c>
      <c r="D15" s="22">
        <v>3.0</v>
      </c>
      <c r="E15" s="22">
        <f t="shared" si="3"/>
        <v>8</v>
      </c>
      <c r="F15" s="22">
        <f t="shared" si="4"/>
        <v>11</v>
      </c>
      <c r="G15" s="22">
        <f t="shared" si="5"/>
        <v>9</v>
      </c>
      <c r="H15" s="22">
        <f t="shared" si="6"/>
        <v>4</v>
      </c>
      <c r="I15" s="22">
        <f t="shared" si="20"/>
        <v>2</v>
      </c>
      <c r="J15" s="22">
        <f t="shared" si="24"/>
        <v>1.35</v>
      </c>
      <c r="K15" s="22">
        <f t="shared" si="22"/>
        <v>3.15</v>
      </c>
      <c r="L15" s="22">
        <f t="shared" si="23"/>
        <v>1.9</v>
      </c>
    </row>
    <row r="16">
      <c r="A16" s="21" t="str">
        <f t="shared" si="2"/>
        <v>I= 15 [A]</v>
      </c>
      <c r="B16" s="22">
        <v>27.0</v>
      </c>
      <c r="C16" s="22">
        <f t="shared" si="15"/>
        <v>24.3</v>
      </c>
      <c r="D16" s="22">
        <v>3.0</v>
      </c>
      <c r="E16" s="22">
        <f t="shared" si="3"/>
        <v>8</v>
      </c>
      <c r="F16" s="22">
        <f t="shared" si="4"/>
        <v>11</v>
      </c>
      <c r="G16" s="22">
        <f t="shared" si="5"/>
        <v>9</v>
      </c>
      <c r="H16" s="22">
        <f t="shared" si="6"/>
        <v>4</v>
      </c>
      <c r="I16" s="22">
        <f t="shared" si="20"/>
        <v>2</v>
      </c>
      <c r="J16" s="22">
        <f t="shared" si="24"/>
        <v>1.35</v>
      </c>
      <c r="K16" s="22">
        <f t="shared" si="22"/>
        <v>3.15</v>
      </c>
      <c r="L16" s="22">
        <f t="shared" si="23"/>
        <v>1.9</v>
      </c>
    </row>
    <row r="17">
      <c r="A17" s="21" t="str">
        <f t="shared" si="2"/>
        <v>I= 16 [A]</v>
      </c>
      <c r="B17" s="22">
        <v>25.0</v>
      </c>
      <c r="C17" s="22">
        <f t="shared" si="15"/>
        <v>22.5</v>
      </c>
      <c r="D17" s="22">
        <v>2.95</v>
      </c>
      <c r="E17" s="22">
        <f t="shared" si="3"/>
        <v>7.95</v>
      </c>
      <c r="F17" s="22">
        <f t="shared" si="4"/>
        <v>10.95</v>
      </c>
      <c r="G17" s="22">
        <f t="shared" si="5"/>
        <v>8.95</v>
      </c>
      <c r="H17" s="22">
        <f t="shared" si="6"/>
        <v>3.95</v>
      </c>
      <c r="I17" s="22">
        <f t="shared" si="20"/>
        <v>1.95</v>
      </c>
      <c r="J17" s="22">
        <f t="shared" si="24"/>
        <v>1.3</v>
      </c>
      <c r="K17" s="22">
        <f t="shared" si="22"/>
        <v>3.1</v>
      </c>
      <c r="L17" s="22">
        <f t="shared" si="23"/>
        <v>1.85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3" t="str">
        <f t="shared" ref="B1:L1" si="1">"SOC = "&amp;10*(COLUMN()-2)&amp;" [%]"</f>
        <v>SOC = 0 [%]</v>
      </c>
      <c r="C1" s="23" t="str">
        <f t="shared" si="1"/>
        <v>SOC = 10 [%]</v>
      </c>
      <c r="D1" s="23" t="str">
        <f t="shared" si="1"/>
        <v>SOC = 20 [%]</v>
      </c>
      <c r="E1" s="23" t="str">
        <f t="shared" si="1"/>
        <v>SOC = 30 [%]</v>
      </c>
      <c r="F1" s="23" t="str">
        <f t="shared" si="1"/>
        <v>SOC = 40 [%]</v>
      </c>
      <c r="G1" s="23" t="str">
        <f t="shared" si="1"/>
        <v>SOC = 50 [%]</v>
      </c>
      <c r="H1" s="23" t="str">
        <f t="shared" si="1"/>
        <v>SOC = 60 [%]</v>
      </c>
      <c r="I1" s="23" t="str">
        <f t="shared" si="1"/>
        <v>SOC = 70 [%]</v>
      </c>
      <c r="J1" s="23" t="str">
        <f t="shared" si="1"/>
        <v>SOC = 80 [%]</v>
      </c>
      <c r="K1" s="23" t="str">
        <f t="shared" si="1"/>
        <v>SOC = 90 [%]</v>
      </c>
      <c r="L1" s="23" t="str">
        <f t="shared" si="1"/>
        <v>SOC = 100 [%]</v>
      </c>
    </row>
    <row r="2">
      <c r="A2" s="23" t="str">
        <f t="shared" ref="A2:A17" si="3">"I= "&amp;1*(row()-1)&amp;" [A]"</f>
        <v>I= 1 [A]</v>
      </c>
      <c r="B2" s="22">
        <v>45.0</v>
      </c>
      <c r="C2" s="22">
        <v>50.0</v>
      </c>
      <c r="D2" s="22">
        <v>58.0</v>
      </c>
      <c r="E2" s="22">
        <v>65.0</v>
      </c>
      <c r="F2" s="22">
        <f t="shared" ref="F2:G2" si="2">E2+2</f>
        <v>67</v>
      </c>
      <c r="G2" s="22">
        <f t="shared" si="2"/>
        <v>69</v>
      </c>
      <c r="H2" s="22">
        <v>73.0</v>
      </c>
      <c r="I2" s="22">
        <v>95.0</v>
      </c>
      <c r="J2" s="22">
        <v>125.0</v>
      </c>
      <c r="K2" s="22">
        <v>110.0</v>
      </c>
      <c r="L2" s="22">
        <v>120.0</v>
      </c>
    </row>
    <row r="3">
      <c r="A3" s="23" t="str">
        <f t="shared" si="3"/>
        <v>I= 2 [A]</v>
      </c>
      <c r="B3" s="22">
        <f>0.52*100</f>
        <v>52</v>
      </c>
      <c r="C3" s="22">
        <v>52.0</v>
      </c>
      <c r="D3" s="22">
        <v>60.0</v>
      </c>
      <c r="E3" s="22">
        <v>70.0</v>
      </c>
      <c r="F3" s="22">
        <f t="shared" ref="F3:G3" si="4">E3+2</f>
        <v>72</v>
      </c>
      <c r="G3" s="22">
        <f t="shared" si="4"/>
        <v>74</v>
      </c>
      <c r="H3" s="22">
        <v>78.0</v>
      </c>
      <c r="I3" s="22">
        <v>105.0</v>
      </c>
      <c r="J3" s="22">
        <v>145.0</v>
      </c>
      <c r="K3" s="22">
        <v>125.0</v>
      </c>
      <c r="L3" s="22">
        <v>140.0</v>
      </c>
    </row>
    <row r="4">
      <c r="A4" s="23" t="str">
        <f t="shared" si="3"/>
        <v>I= 3 [A]</v>
      </c>
      <c r="B4" s="22">
        <v>55.0</v>
      </c>
      <c r="C4" s="22">
        <v>56.0</v>
      </c>
      <c r="D4" s="22">
        <f t="shared" ref="D4:D9" si="5">C4+10</f>
        <v>66</v>
      </c>
      <c r="E4" s="22">
        <v>75.0</v>
      </c>
      <c r="F4" s="22">
        <v>77.0</v>
      </c>
      <c r="G4" s="22">
        <v>79.0</v>
      </c>
      <c r="H4" s="22">
        <v>85.0</v>
      </c>
      <c r="I4" s="22">
        <v>110.0</v>
      </c>
      <c r="J4" s="22">
        <v>165.0</v>
      </c>
      <c r="K4" s="22">
        <v>135.0</v>
      </c>
      <c r="L4" s="22">
        <v>160.0</v>
      </c>
    </row>
    <row r="5">
      <c r="A5" s="23" t="str">
        <f t="shared" si="3"/>
        <v>I= 4 [A]</v>
      </c>
      <c r="B5" s="22">
        <v>59.0</v>
      </c>
      <c r="C5" s="22">
        <v>61.0</v>
      </c>
      <c r="D5" s="22">
        <f t="shared" si="5"/>
        <v>71</v>
      </c>
      <c r="E5" s="22">
        <v>90.0</v>
      </c>
      <c r="F5" s="22">
        <v>92.0</v>
      </c>
      <c r="G5" s="22">
        <v>93.0</v>
      </c>
      <c r="H5" s="22">
        <v>98.0</v>
      </c>
      <c r="I5" s="22">
        <v>125.0</v>
      </c>
      <c r="J5" s="22">
        <v>190.0</v>
      </c>
      <c r="K5" s="22">
        <v>150.0</v>
      </c>
      <c r="L5" s="22">
        <v>180.0</v>
      </c>
    </row>
    <row r="6">
      <c r="A6" s="23" t="str">
        <f t="shared" si="3"/>
        <v>I= 5 [A]</v>
      </c>
      <c r="B6" s="22">
        <v>62.0</v>
      </c>
      <c r="C6" s="22">
        <v>65.0</v>
      </c>
      <c r="D6" s="22">
        <f t="shared" si="5"/>
        <v>75</v>
      </c>
      <c r="E6" s="22">
        <v>99.0</v>
      </c>
      <c r="F6" s="22">
        <v>94.0</v>
      </c>
      <c r="G6" s="22">
        <v>95.0</v>
      </c>
      <c r="H6" s="22">
        <v>101.0</v>
      </c>
      <c r="I6" s="22">
        <v>135.0</v>
      </c>
      <c r="J6" s="22">
        <v>205.0</v>
      </c>
      <c r="K6" s="22">
        <v>165.0</v>
      </c>
      <c r="L6" s="22">
        <v>190.0</v>
      </c>
    </row>
    <row r="7">
      <c r="A7" s="23" t="str">
        <f t="shared" si="3"/>
        <v>I= 6 [A]</v>
      </c>
      <c r="B7" s="22">
        <v>63.0</v>
      </c>
      <c r="C7" s="22">
        <v>69.0</v>
      </c>
      <c r="D7" s="22">
        <f t="shared" si="5"/>
        <v>79</v>
      </c>
      <c r="E7" s="22">
        <v>109.0</v>
      </c>
      <c r="F7" s="22">
        <v>105.0</v>
      </c>
      <c r="G7" s="22">
        <v>106.0</v>
      </c>
      <c r="H7" s="22">
        <v>109.0</v>
      </c>
      <c r="I7" s="22">
        <v>170.0</v>
      </c>
      <c r="J7" s="22">
        <v>220.0</v>
      </c>
      <c r="K7" s="22">
        <v>180.0</v>
      </c>
      <c r="L7" s="22">
        <v>200.0</v>
      </c>
    </row>
    <row r="8">
      <c r="A8" s="23" t="str">
        <f t="shared" si="3"/>
        <v>I= 7 [A]</v>
      </c>
      <c r="B8" s="22">
        <v>63.5</v>
      </c>
      <c r="C8" s="22">
        <v>70.0</v>
      </c>
      <c r="D8" s="22">
        <f t="shared" si="5"/>
        <v>80</v>
      </c>
      <c r="E8" s="22">
        <v>120.0</v>
      </c>
      <c r="F8" s="22">
        <v>110.0</v>
      </c>
      <c r="G8" s="22">
        <v>109.0</v>
      </c>
      <c r="H8" s="22">
        <v>111.0</v>
      </c>
      <c r="I8" s="22">
        <v>190.0</v>
      </c>
      <c r="J8" s="22">
        <v>235.0</v>
      </c>
      <c r="K8" s="22">
        <v>190.0</v>
      </c>
      <c r="L8" s="22">
        <v>210.0</v>
      </c>
    </row>
    <row r="9">
      <c r="A9" s="23" t="str">
        <f t="shared" si="3"/>
        <v>I= 8 [A]</v>
      </c>
      <c r="B9" s="22">
        <v>64.0</v>
      </c>
      <c r="C9" s="22">
        <v>70.5</v>
      </c>
      <c r="D9" s="22">
        <f t="shared" si="5"/>
        <v>80.5</v>
      </c>
      <c r="E9" s="22">
        <v>122.0</v>
      </c>
      <c r="F9" s="22">
        <v>112.0</v>
      </c>
      <c r="G9" s="22">
        <v>111.0</v>
      </c>
      <c r="H9" s="22">
        <v>114.0</v>
      </c>
      <c r="I9" s="22">
        <v>210.0</v>
      </c>
      <c r="J9" s="22">
        <v>260.0</v>
      </c>
      <c r="K9" s="22">
        <v>200.0</v>
      </c>
      <c r="L9" s="22">
        <v>220.0</v>
      </c>
    </row>
    <row r="10">
      <c r="A10" s="23" t="str">
        <f t="shared" si="3"/>
        <v>I= 9 [A]</v>
      </c>
      <c r="B10" s="22">
        <v>64.25</v>
      </c>
      <c r="C10" s="22">
        <f t="shared" ref="C10:D10" si="6">B10+10</f>
        <v>74.25</v>
      </c>
      <c r="D10" s="22">
        <f t="shared" si="6"/>
        <v>84.25</v>
      </c>
      <c r="E10" s="22">
        <v>124.0</v>
      </c>
      <c r="F10" s="22">
        <v>110.0</v>
      </c>
      <c r="G10" s="22">
        <v>111.0</v>
      </c>
      <c r="H10" s="22">
        <v>115.0</v>
      </c>
      <c r="I10" s="22">
        <v>230.0</v>
      </c>
      <c r="J10" s="22">
        <v>270.0</v>
      </c>
      <c r="K10" s="22">
        <v>205.0</v>
      </c>
      <c r="L10" s="22">
        <v>230.0</v>
      </c>
    </row>
    <row r="11">
      <c r="A11" s="23" t="str">
        <f t="shared" si="3"/>
        <v>I= 10 [A]</v>
      </c>
      <c r="B11" s="22">
        <v>64.5</v>
      </c>
      <c r="C11" s="22">
        <f t="shared" ref="C11:D11" si="7">B11+10</f>
        <v>74.5</v>
      </c>
      <c r="D11" s="22">
        <f t="shared" si="7"/>
        <v>84.5</v>
      </c>
      <c r="E11" s="22">
        <v>126.0</v>
      </c>
      <c r="F11" s="22">
        <v>111.0</v>
      </c>
      <c r="G11" s="22">
        <v>112.0</v>
      </c>
      <c r="H11" s="22">
        <v>118.0</v>
      </c>
      <c r="I11" s="22">
        <v>250.0</v>
      </c>
      <c r="J11" s="22">
        <v>285.0</v>
      </c>
      <c r="K11" s="22">
        <v>210.0</v>
      </c>
      <c r="L11" s="22">
        <v>235.0</v>
      </c>
    </row>
    <row r="12">
      <c r="A12" s="23" t="str">
        <f t="shared" si="3"/>
        <v>I= 11 [A]</v>
      </c>
      <c r="B12" s="22">
        <v>64.75</v>
      </c>
      <c r="C12" s="22">
        <f t="shared" ref="C12:D12" si="8">B12+10</f>
        <v>74.75</v>
      </c>
      <c r="D12" s="22">
        <f t="shared" si="8"/>
        <v>84.75</v>
      </c>
      <c r="E12" s="22">
        <v>127.0</v>
      </c>
      <c r="F12" s="22">
        <v>112.0</v>
      </c>
      <c r="G12" s="22">
        <v>113.0</v>
      </c>
      <c r="H12" s="22">
        <v>120.0</v>
      </c>
      <c r="I12" s="22">
        <v>280.0</v>
      </c>
      <c r="J12" s="22">
        <v>295.0</v>
      </c>
      <c r="K12" s="22">
        <v>212.0</v>
      </c>
      <c r="L12" s="22">
        <v>240.0</v>
      </c>
    </row>
    <row r="13">
      <c r="A13" s="23" t="str">
        <f t="shared" si="3"/>
        <v>I= 12 [A]</v>
      </c>
      <c r="B13" s="22">
        <v>65.0</v>
      </c>
      <c r="C13" s="22">
        <f t="shared" ref="C13:D13" si="9">B13+10</f>
        <v>75</v>
      </c>
      <c r="D13" s="22">
        <f t="shared" si="9"/>
        <v>85</v>
      </c>
      <c r="E13" s="22">
        <v>128.0</v>
      </c>
      <c r="F13" s="22">
        <v>110.0</v>
      </c>
      <c r="G13" s="22">
        <v>107.0</v>
      </c>
      <c r="H13" s="22">
        <v>120.0</v>
      </c>
      <c r="I13" s="22">
        <v>300.0</v>
      </c>
      <c r="J13" s="22">
        <v>305.0</v>
      </c>
      <c r="K13" s="22">
        <v>210.0</v>
      </c>
      <c r="L13" s="22">
        <v>245.0</v>
      </c>
    </row>
    <row r="14">
      <c r="A14" s="23" t="str">
        <f t="shared" si="3"/>
        <v>I= 13 [A]</v>
      </c>
      <c r="B14" s="22">
        <v>65.1</v>
      </c>
      <c r="C14" s="22">
        <f t="shared" ref="C14:D14" si="10">B14+10</f>
        <v>75.1</v>
      </c>
      <c r="D14" s="22">
        <f t="shared" si="10"/>
        <v>85.1</v>
      </c>
      <c r="E14" s="22">
        <v>127.0</v>
      </c>
      <c r="F14" s="22">
        <v>115.0</v>
      </c>
      <c r="G14" s="22">
        <v>112.0</v>
      </c>
      <c r="H14" s="22">
        <v>118.0</v>
      </c>
      <c r="I14" s="22">
        <v>310.0</v>
      </c>
      <c r="J14" s="22">
        <v>312.0</v>
      </c>
      <c r="K14" s="22">
        <v>215.0</v>
      </c>
      <c r="L14" s="22">
        <v>250.0</v>
      </c>
    </row>
    <row r="15">
      <c r="A15" s="23" t="str">
        <f t="shared" si="3"/>
        <v>I= 14 [A]</v>
      </c>
      <c r="B15" s="22">
        <v>65.25</v>
      </c>
      <c r="C15" s="22">
        <f t="shared" ref="C15:D15" si="11">B15+10</f>
        <v>75.25</v>
      </c>
      <c r="D15" s="22">
        <f t="shared" si="11"/>
        <v>85.25</v>
      </c>
      <c r="E15" s="22">
        <v>125.0</v>
      </c>
      <c r="F15" s="22">
        <v>118.0</v>
      </c>
      <c r="G15" s="22">
        <v>116.0</v>
      </c>
      <c r="H15" s="22">
        <v>119.0</v>
      </c>
      <c r="I15" s="22">
        <v>318.0</v>
      </c>
      <c r="J15" s="22">
        <v>318.0</v>
      </c>
      <c r="K15" s="22">
        <v>220.0</v>
      </c>
      <c r="L15" s="22">
        <v>255.0</v>
      </c>
    </row>
    <row r="16">
      <c r="A16" s="23" t="str">
        <f t="shared" si="3"/>
        <v>I= 15 [A]</v>
      </c>
      <c r="B16" s="22">
        <v>65.3</v>
      </c>
      <c r="C16" s="22">
        <f t="shared" ref="C16:D16" si="12">B16+10</f>
        <v>75.3</v>
      </c>
      <c r="D16" s="22">
        <f t="shared" si="12"/>
        <v>85.3</v>
      </c>
      <c r="E16" s="22">
        <v>124.0</v>
      </c>
      <c r="F16" s="22">
        <v>115.0</v>
      </c>
      <c r="G16" s="22">
        <v>115.0</v>
      </c>
      <c r="H16" s="22">
        <v>119.0</v>
      </c>
      <c r="I16" s="22">
        <v>320.0</v>
      </c>
      <c r="J16" s="22">
        <v>324.0</v>
      </c>
      <c r="K16" s="22">
        <v>225.0</v>
      </c>
      <c r="L16" s="22">
        <v>260.0</v>
      </c>
    </row>
    <row r="17">
      <c r="A17" s="23" t="str">
        <f t="shared" si="3"/>
        <v>I= 16 [A]</v>
      </c>
      <c r="B17" s="22">
        <v>65.4</v>
      </c>
      <c r="C17" s="22">
        <f t="shared" ref="C17:D17" si="13">B17+10</f>
        <v>75.4</v>
      </c>
      <c r="D17" s="22">
        <f t="shared" si="13"/>
        <v>85.4</v>
      </c>
      <c r="E17" s="22">
        <v>125.0</v>
      </c>
      <c r="F17" s="22">
        <v>116.0</v>
      </c>
      <c r="G17" s="22">
        <v>114.0</v>
      </c>
      <c r="H17" s="22">
        <v>118.0</v>
      </c>
      <c r="I17" s="22">
        <v>325.0</v>
      </c>
      <c r="J17" s="22">
        <v>330.0</v>
      </c>
      <c r="K17" s="22">
        <v>230.0</v>
      </c>
      <c r="L17" s="22">
        <v>265.0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'R2'!A1</f>
        <v/>
      </c>
      <c r="B1" s="5" t="str">
        <f>'R2'!B1</f>
        <v>SOC = 0 [%]</v>
      </c>
      <c r="C1" s="5" t="str">
        <f>'R2'!C1</f>
        <v>SOC = 10 [%]</v>
      </c>
      <c r="D1" s="5" t="str">
        <f>'R2'!D1</f>
        <v>SOC = 20 [%]</v>
      </c>
      <c r="E1" s="5" t="str">
        <f>'R2'!E1</f>
        <v>SOC = 30 [%]</v>
      </c>
      <c r="F1" s="5" t="str">
        <f>'R2'!F1</f>
        <v>SOC = 40 [%]</v>
      </c>
      <c r="G1" s="5" t="str">
        <f>'R2'!G1</f>
        <v>SOC = 50 [%]</v>
      </c>
      <c r="H1" s="5" t="str">
        <f>'R2'!H1</f>
        <v>SOC = 60 [%]</v>
      </c>
      <c r="I1" s="5" t="str">
        <f>'R2'!I1</f>
        <v>SOC = 70 [%]</v>
      </c>
      <c r="J1" s="5" t="str">
        <f>'R2'!J1</f>
        <v>SOC = 80 [%]</v>
      </c>
      <c r="K1" s="5" t="str">
        <f>'R2'!K1</f>
        <v>SOC = 90 [%]</v>
      </c>
      <c r="L1" s="5" t="str">
        <f>'R2'!L1</f>
        <v>SOC = 100 [%]</v>
      </c>
    </row>
    <row r="2">
      <c r="A2" s="5" t="str">
        <f>'R2'!A2</f>
        <v>I= 1 [A]</v>
      </c>
      <c r="B2" s="10">
        <f>1/('C2'!B2)</f>
        <v>0.02222222222</v>
      </c>
      <c r="C2" s="10">
        <f>1/('C2'!C2)</f>
        <v>0.02</v>
      </c>
      <c r="D2" s="10">
        <f>1/('C2'!D2)</f>
        <v>0.01724137931</v>
      </c>
      <c r="E2" s="10">
        <f>1/('C2'!E2)</f>
        <v>0.01538461538</v>
      </c>
      <c r="F2" s="10">
        <f>1/('C2'!F2)</f>
        <v>0.01492537313</v>
      </c>
      <c r="G2" s="10">
        <f>1/('C2'!G2)</f>
        <v>0.01449275362</v>
      </c>
      <c r="H2" s="10">
        <f>1/('C2'!H2)</f>
        <v>0.01369863014</v>
      </c>
      <c r="I2" s="10">
        <f>1/('C2'!I2)</f>
        <v>0.01052631579</v>
      </c>
      <c r="J2" s="10">
        <f>1/('C2'!J2)</f>
        <v>0.008</v>
      </c>
      <c r="K2" s="10">
        <f>1/('C2'!K2)</f>
        <v>0.009090909091</v>
      </c>
      <c r="L2" s="10">
        <f>1/('C2'!L2)</f>
        <v>0.008333333333</v>
      </c>
    </row>
    <row r="3">
      <c r="A3" s="5" t="str">
        <f>'R2'!A3</f>
        <v>I= 2 [A]</v>
      </c>
      <c r="B3" s="10">
        <f>1/('C2'!B3)</f>
        <v>0.01923076923</v>
      </c>
      <c r="C3" s="10">
        <f>1/('C2'!C3)</f>
        <v>0.01923076923</v>
      </c>
      <c r="D3" s="10">
        <f>1/('C2'!D3)</f>
        <v>0.01666666667</v>
      </c>
      <c r="E3" s="10">
        <f>1/('C2'!E3)</f>
        <v>0.01428571429</v>
      </c>
      <c r="F3" s="10">
        <f>1/('C2'!F3)</f>
        <v>0.01388888889</v>
      </c>
      <c r="G3" s="10">
        <f>1/('C2'!G3)</f>
        <v>0.01351351351</v>
      </c>
      <c r="H3" s="10">
        <f>1/('C2'!H3)</f>
        <v>0.01282051282</v>
      </c>
      <c r="I3" s="10">
        <f>1/('C2'!I3)</f>
        <v>0.009523809524</v>
      </c>
      <c r="J3" s="10">
        <f>1/('C2'!J3)</f>
        <v>0.006896551724</v>
      </c>
      <c r="K3" s="10">
        <f>1/('C2'!K3)</f>
        <v>0.008</v>
      </c>
      <c r="L3" s="10">
        <f>1/('C2'!L3)</f>
        <v>0.007142857143</v>
      </c>
    </row>
    <row r="4">
      <c r="A4" s="5" t="str">
        <f>'R2'!A4</f>
        <v>I= 3 [A]</v>
      </c>
      <c r="B4" s="10">
        <f>1/('C2'!B4)</f>
        <v>0.01818181818</v>
      </c>
      <c r="C4" s="10">
        <f>1/('C2'!C4)</f>
        <v>0.01785714286</v>
      </c>
      <c r="D4" s="10">
        <f>1/('C2'!D4)</f>
        <v>0.01515151515</v>
      </c>
      <c r="E4" s="10">
        <f>1/('C2'!E4)</f>
        <v>0.01333333333</v>
      </c>
      <c r="F4" s="10">
        <f>1/('C2'!F4)</f>
        <v>0.01298701299</v>
      </c>
      <c r="G4" s="10">
        <f>1/('C2'!G4)</f>
        <v>0.01265822785</v>
      </c>
      <c r="H4" s="10">
        <f>1/('C2'!H4)</f>
        <v>0.01176470588</v>
      </c>
      <c r="I4" s="10">
        <f>1/('C2'!I4)</f>
        <v>0.009090909091</v>
      </c>
      <c r="J4" s="10">
        <f>1/('C2'!J4)</f>
        <v>0.006060606061</v>
      </c>
      <c r="K4" s="10">
        <f>1/('C2'!K4)</f>
        <v>0.007407407407</v>
      </c>
      <c r="L4" s="10">
        <f>1/('C2'!L4)</f>
        <v>0.00625</v>
      </c>
    </row>
    <row r="5">
      <c r="A5" s="5" t="str">
        <f>'R2'!A5</f>
        <v>I= 4 [A]</v>
      </c>
      <c r="B5" s="10">
        <f>1/('C2'!B5)</f>
        <v>0.01694915254</v>
      </c>
      <c r="C5" s="10">
        <f>1/('C2'!C5)</f>
        <v>0.01639344262</v>
      </c>
      <c r="D5" s="10">
        <f>1/('C2'!D5)</f>
        <v>0.01408450704</v>
      </c>
      <c r="E5" s="10">
        <f>1/('C2'!E5)</f>
        <v>0.01111111111</v>
      </c>
      <c r="F5" s="10">
        <f>1/('C2'!F5)</f>
        <v>0.01086956522</v>
      </c>
      <c r="G5" s="10">
        <f>1/('C2'!G5)</f>
        <v>0.01075268817</v>
      </c>
      <c r="H5" s="10">
        <f>1/('C2'!H5)</f>
        <v>0.01020408163</v>
      </c>
      <c r="I5" s="10">
        <f>1/('C2'!I5)</f>
        <v>0.008</v>
      </c>
      <c r="J5" s="10">
        <f>1/('C2'!J5)</f>
        <v>0.005263157895</v>
      </c>
      <c r="K5" s="10">
        <f>1/('C2'!K5)</f>
        <v>0.006666666667</v>
      </c>
      <c r="L5" s="10">
        <f>1/('C2'!L5)</f>
        <v>0.005555555556</v>
      </c>
    </row>
    <row r="6">
      <c r="A6" s="5" t="str">
        <f>'R2'!A6</f>
        <v>I= 5 [A]</v>
      </c>
      <c r="B6" s="10">
        <f>1/('C2'!B6)</f>
        <v>0.01612903226</v>
      </c>
      <c r="C6" s="9" t="s">
        <v>98</v>
      </c>
      <c r="D6" s="10">
        <f>1/('C2'!D6)</f>
        <v>0.01333333333</v>
      </c>
      <c r="E6" s="10">
        <f>1/('C2'!E6)</f>
        <v>0.0101010101</v>
      </c>
      <c r="F6" s="10">
        <f>1/('C2'!F6)</f>
        <v>0.01063829787</v>
      </c>
      <c r="G6" s="10">
        <f>1/('C2'!G6)</f>
        <v>0.01052631579</v>
      </c>
      <c r="H6" s="10">
        <f>1/('C2'!H6)</f>
        <v>0.009900990099</v>
      </c>
      <c r="I6" s="10">
        <f>1/('C2'!I6)</f>
        <v>0.007407407407</v>
      </c>
      <c r="J6" s="10">
        <f>1/('C2'!J6)</f>
        <v>0.00487804878</v>
      </c>
      <c r="K6" s="10">
        <f>1/('C2'!K6)</f>
        <v>0.006060606061</v>
      </c>
      <c r="L6" s="10">
        <f>1/('C2'!L6)</f>
        <v>0.005263157895</v>
      </c>
    </row>
    <row r="7">
      <c r="A7" s="5" t="str">
        <f>'R2'!A7</f>
        <v>I= 6 [A]</v>
      </c>
      <c r="B7" s="10">
        <f>1/('C2'!B7)</f>
        <v>0.01587301587</v>
      </c>
      <c r="C7" s="10">
        <f>1/('C2'!C7)</f>
        <v>0.01449275362</v>
      </c>
      <c r="D7" s="10">
        <f>1/('C2'!D7)</f>
        <v>0.01265822785</v>
      </c>
      <c r="E7" s="10">
        <f>1/('C2'!E7)</f>
        <v>0.009174311927</v>
      </c>
      <c r="F7" s="10">
        <f>1/('C2'!F7)</f>
        <v>0.009523809524</v>
      </c>
      <c r="G7" s="10">
        <f>1/('C2'!G7)</f>
        <v>0.009433962264</v>
      </c>
      <c r="H7" s="10">
        <f>1/('C2'!H7)</f>
        <v>0.009174311927</v>
      </c>
      <c r="I7" s="10">
        <f>1/('C2'!I7)</f>
        <v>0.005882352941</v>
      </c>
      <c r="J7" s="10">
        <f>1/('C2'!J7)</f>
        <v>0.004545454545</v>
      </c>
      <c r="K7" s="10">
        <f>1/('C2'!K7)</f>
        <v>0.005555555556</v>
      </c>
      <c r="L7" s="10">
        <f>1/('C2'!L7)</f>
        <v>0.005</v>
      </c>
    </row>
    <row r="8">
      <c r="A8" s="5" t="str">
        <f>'R2'!A8</f>
        <v>I= 7 [A]</v>
      </c>
      <c r="B8" s="10">
        <f>1/('C2'!B8)</f>
        <v>0.0157480315</v>
      </c>
      <c r="C8" s="10">
        <f>1/('C2'!C8)</f>
        <v>0.01428571429</v>
      </c>
      <c r="D8" s="10">
        <f>1/('C2'!D8)</f>
        <v>0.0125</v>
      </c>
      <c r="E8" s="10">
        <f>1/('C2'!E8)</f>
        <v>0.008333333333</v>
      </c>
      <c r="F8" s="10">
        <f>1/('C2'!F8)</f>
        <v>0.009090909091</v>
      </c>
      <c r="G8" s="10">
        <f>1/('C2'!G8)</f>
        <v>0.009174311927</v>
      </c>
      <c r="H8" s="10">
        <f>1/('C2'!H8)</f>
        <v>0.009009009009</v>
      </c>
      <c r="I8" s="10">
        <f>1/('C2'!I8)</f>
        <v>0.005263157895</v>
      </c>
      <c r="J8" s="10">
        <f>1/('C2'!J8)</f>
        <v>0.004255319149</v>
      </c>
      <c r="K8" s="10">
        <f>1/('C2'!K8)</f>
        <v>0.005263157895</v>
      </c>
      <c r="L8" s="10">
        <f>1/('C2'!L8)</f>
        <v>0.004761904762</v>
      </c>
    </row>
    <row r="9">
      <c r="A9" s="5" t="str">
        <f>'R2'!A9</f>
        <v>I= 8 [A]</v>
      </c>
      <c r="B9" s="10">
        <f>1/('C2'!B9)</f>
        <v>0.015625</v>
      </c>
      <c r="C9" s="10">
        <f>1/('C2'!C9)</f>
        <v>0.01418439716</v>
      </c>
      <c r="D9" s="10">
        <f>1/('C2'!D9)</f>
        <v>0.01242236025</v>
      </c>
      <c r="E9" s="10">
        <f>1/('C2'!E9)</f>
        <v>0.008196721311</v>
      </c>
      <c r="F9" s="10">
        <f>1/('C2'!F9)</f>
        <v>0.008928571429</v>
      </c>
      <c r="G9" s="10">
        <f>1/('C2'!G9)</f>
        <v>0.009009009009</v>
      </c>
      <c r="H9" s="10">
        <f>1/('C2'!H9)</f>
        <v>0.008771929825</v>
      </c>
      <c r="I9" s="10">
        <f>1/('C2'!I9)</f>
        <v>0.004761904762</v>
      </c>
      <c r="J9" s="10">
        <f>1/('C2'!J9)</f>
        <v>0.003846153846</v>
      </c>
      <c r="K9" s="10">
        <f>1/('C2'!K9)</f>
        <v>0.005</v>
      </c>
      <c r="L9" s="10">
        <f>1/('C2'!L9)</f>
        <v>0.004545454545</v>
      </c>
    </row>
    <row r="10">
      <c r="A10" s="5" t="str">
        <f>'R2'!A10</f>
        <v>I= 9 [A]</v>
      </c>
      <c r="B10" s="10">
        <f>1/('C2'!B10)</f>
        <v>0.01556420233</v>
      </c>
      <c r="C10" s="10">
        <f>1/('C2'!C10)</f>
        <v>0.01346801347</v>
      </c>
      <c r="D10" s="10">
        <f>1/('C2'!D10)</f>
        <v>0.0118694362</v>
      </c>
      <c r="E10" s="10">
        <f>1/('C2'!E10)</f>
        <v>0.008064516129</v>
      </c>
      <c r="F10" s="10">
        <f>1/('C2'!F10)</f>
        <v>0.009090909091</v>
      </c>
      <c r="G10" s="10">
        <f>1/('C2'!G10)</f>
        <v>0.009009009009</v>
      </c>
      <c r="H10" s="10">
        <f>1/('C2'!H10)</f>
        <v>0.008695652174</v>
      </c>
      <c r="I10" s="10">
        <f>1/('C2'!I10)</f>
        <v>0.004347826087</v>
      </c>
      <c r="J10" s="10">
        <f>1/('C2'!J10)</f>
        <v>0.003703703704</v>
      </c>
      <c r="K10" s="10">
        <f>1/('C2'!K10)</f>
        <v>0.00487804878</v>
      </c>
      <c r="L10" s="10">
        <f>1/('C2'!L10)</f>
        <v>0.004347826087</v>
      </c>
    </row>
    <row r="11">
      <c r="A11" s="5" t="str">
        <f>'R2'!A11</f>
        <v>I= 10 [A]</v>
      </c>
      <c r="B11" s="10">
        <f>1/('C2'!B11)</f>
        <v>0.01550387597</v>
      </c>
      <c r="C11" s="10">
        <f>1/('C2'!C11)</f>
        <v>0.01342281879</v>
      </c>
      <c r="D11" s="10">
        <f>1/('C2'!D11)</f>
        <v>0.01183431953</v>
      </c>
      <c r="E11" s="10">
        <f>1/('C2'!E11)</f>
        <v>0.007936507937</v>
      </c>
      <c r="F11" s="10">
        <f>1/('C2'!F11)</f>
        <v>0.009009009009</v>
      </c>
      <c r="G11" s="10">
        <f>1/('C2'!G11)</f>
        <v>0.008928571429</v>
      </c>
      <c r="H11" s="10">
        <f>1/('C2'!H11)</f>
        <v>0.008474576271</v>
      </c>
      <c r="I11" s="10">
        <f>1/('C2'!I11)</f>
        <v>0.004</v>
      </c>
      <c r="J11" s="10">
        <f>1/('C2'!J11)</f>
        <v>0.00350877193</v>
      </c>
      <c r="K11" s="10">
        <f>1/('C2'!K11)</f>
        <v>0.004761904762</v>
      </c>
      <c r="L11" s="10">
        <f>1/('C2'!L11)</f>
        <v>0.004255319149</v>
      </c>
    </row>
    <row r="12">
      <c r="A12" s="5" t="str">
        <f>'R2'!A12</f>
        <v>I= 11 [A]</v>
      </c>
      <c r="B12" s="10">
        <f>1/('C2'!B12)</f>
        <v>0.01544401544</v>
      </c>
      <c r="C12" s="10">
        <f>1/('C2'!C12)</f>
        <v>0.01337792642</v>
      </c>
      <c r="D12" s="10">
        <f>1/('C2'!D12)</f>
        <v>0.01179941003</v>
      </c>
      <c r="E12" s="10">
        <f>1/('C2'!E12)</f>
        <v>0.007874015748</v>
      </c>
      <c r="F12" s="10">
        <f>1/('C2'!F12)</f>
        <v>0.008928571429</v>
      </c>
      <c r="G12" s="10">
        <f>1/('C2'!G12)</f>
        <v>0.008849557522</v>
      </c>
      <c r="H12" s="10">
        <f>1/('C2'!H12)</f>
        <v>0.008333333333</v>
      </c>
      <c r="I12" s="10">
        <f>1/('C2'!I12)</f>
        <v>0.003571428571</v>
      </c>
      <c r="J12" s="10">
        <f>1/('C2'!J12)</f>
        <v>0.003389830508</v>
      </c>
      <c r="K12" s="10">
        <f>1/('C2'!K12)</f>
        <v>0.004716981132</v>
      </c>
      <c r="L12" s="10">
        <f>1/('C2'!L12)</f>
        <v>0.004166666667</v>
      </c>
    </row>
    <row r="13">
      <c r="A13" s="5" t="str">
        <f>'R2'!A13</f>
        <v>I= 12 [A]</v>
      </c>
      <c r="B13" s="10">
        <f>1/('C2'!B13)</f>
        <v>0.01538461538</v>
      </c>
      <c r="C13" s="10">
        <f>1/('C2'!C13)</f>
        <v>0.01333333333</v>
      </c>
      <c r="D13" s="10">
        <f>1/('C2'!D13)</f>
        <v>0.01176470588</v>
      </c>
      <c r="E13" s="10">
        <f>1/('C2'!E13)</f>
        <v>0.0078125</v>
      </c>
      <c r="F13" s="10">
        <f>1/('C2'!F13)</f>
        <v>0.009090909091</v>
      </c>
      <c r="G13" s="10">
        <f>1/('C2'!G13)</f>
        <v>0.009345794393</v>
      </c>
      <c r="H13" s="10">
        <f>1/('C2'!H13)</f>
        <v>0.008333333333</v>
      </c>
      <c r="I13" s="10">
        <f>1/('C2'!I13)</f>
        <v>0.003333333333</v>
      </c>
      <c r="J13" s="10">
        <f>1/('C2'!J13)</f>
        <v>0.003278688525</v>
      </c>
      <c r="K13" s="10">
        <f>1/('C2'!K13)</f>
        <v>0.004761904762</v>
      </c>
      <c r="L13" s="10">
        <f>1/('C2'!L13)</f>
        <v>0.004081632653</v>
      </c>
    </row>
    <row r="14">
      <c r="A14" s="5" t="str">
        <f>'R2'!A14</f>
        <v>I= 13 [A]</v>
      </c>
      <c r="B14" s="10">
        <f>1/('C2'!B14)</f>
        <v>0.0153609831</v>
      </c>
      <c r="C14" s="10">
        <f>1/('C2'!C14)</f>
        <v>0.01331557923</v>
      </c>
      <c r="D14" s="10">
        <f>1/('C2'!D14)</f>
        <v>0.01175088132</v>
      </c>
      <c r="E14" s="10">
        <f>1/('C2'!E14)</f>
        <v>0.007874015748</v>
      </c>
      <c r="F14" s="10">
        <f>1/('C2'!F14)</f>
        <v>0.008695652174</v>
      </c>
      <c r="G14" s="10">
        <f>1/('C2'!G14)</f>
        <v>0.008928571429</v>
      </c>
      <c r="H14" s="10">
        <f>1/('C2'!H14)</f>
        <v>0.008474576271</v>
      </c>
      <c r="I14" s="10">
        <f>1/('C2'!I14)</f>
        <v>0.003225806452</v>
      </c>
      <c r="J14" s="10">
        <f>1/('C2'!J14)</f>
        <v>0.003205128205</v>
      </c>
      <c r="K14" s="10">
        <f>1/('C2'!K14)</f>
        <v>0.004651162791</v>
      </c>
      <c r="L14" s="10">
        <f>1/('C2'!L14)</f>
        <v>0.004</v>
      </c>
    </row>
    <row r="15">
      <c r="A15" s="5" t="str">
        <f>'R2'!A15</f>
        <v>I= 14 [A]</v>
      </c>
      <c r="B15" s="10">
        <f>1/('C2'!B15)</f>
        <v>0.0153256705</v>
      </c>
      <c r="C15" s="10">
        <f>1/('C2'!C15)</f>
        <v>0.01328903654</v>
      </c>
      <c r="D15" s="10">
        <f>1/('C2'!D15)</f>
        <v>0.01173020528</v>
      </c>
      <c r="E15" s="10">
        <f>1/('C2'!E15)</f>
        <v>0.008</v>
      </c>
      <c r="F15" s="10">
        <f>1/('C2'!F15)</f>
        <v>0.008474576271</v>
      </c>
      <c r="G15" s="10">
        <f>1/('C2'!G15)</f>
        <v>0.008620689655</v>
      </c>
      <c r="H15" s="10">
        <f>1/('C2'!H15)</f>
        <v>0.008403361345</v>
      </c>
      <c r="I15" s="10">
        <f>1/('C2'!I15)</f>
        <v>0.003144654088</v>
      </c>
      <c r="J15" s="10">
        <f>1/('C2'!J15)</f>
        <v>0.003144654088</v>
      </c>
      <c r="K15" s="10">
        <f>1/('C2'!K15)</f>
        <v>0.004545454545</v>
      </c>
      <c r="L15" s="10">
        <f>1/('C2'!L15)</f>
        <v>0.003921568627</v>
      </c>
    </row>
    <row r="16">
      <c r="A16" s="5" t="str">
        <f>'R2'!A16</f>
        <v>I= 15 [A]</v>
      </c>
      <c r="B16" s="10">
        <f>1/('C2'!B16)</f>
        <v>0.01531393568</v>
      </c>
      <c r="C16" s="10">
        <f>1/('C2'!C16)</f>
        <v>0.01328021248</v>
      </c>
      <c r="D16" s="10">
        <f>1/('C2'!D16)</f>
        <v>0.01172332943</v>
      </c>
      <c r="E16" s="10">
        <f>1/('C2'!E16)</f>
        <v>0.008064516129</v>
      </c>
      <c r="F16" s="10">
        <f>1/('C2'!F16)</f>
        <v>0.008695652174</v>
      </c>
      <c r="G16" s="10">
        <f>1/('C2'!G16)</f>
        <v>0.008695652174</v>
      </c>
      <c r="H16" s="10">
        <f>1/('C2'!H16)</f>
        <v>0.008403361345</v>
      </c>
      <c r="I16" s="10">
        <f>1/('C2'!I16)</f>
        <v>0.003125</v>
      </c>
      <c r="J16" s="10">
        <f>1/('C2'!J16)</f>
        <v>0.003086419753</v>
      </c>
      <c r="K16" s="10">
        <f>1/('C2'!K16)</f>
        <v>0.004444444444</v>
      </c>
      <c r="L16" s="10">
        <f>1/('C2'!L16)</f>
        <v>0.003846153846</v>
      </c>
    </row>
    <row r="17">
      <c r="A17" s="5" t="str">
        <f>'R2'!A17</f>
        <v>I= 16 [A]</v>
      </c>
      <c r="B17" s="10">
        <f>1/('C2'!B17)</f>
        <v>0.01529051988</v>
      </c>
      <c r="C17" s="10">
        <f>1/('C2'!C17)</f>
        <v>0.01326259947</v>
      </c>
      <c r="D17" s="10">
        <f>1/('C2'!D17)</f>
        <v>0.01170960187</v>
      </c>
      <c r="E17" s="10">
        <f>1/('C2'!E17)</f>
        <v>0.008</v>
      </c>
      <c r="F17" s="10">
        <f>1/('C2'!F17)</f>
        <v>0.008620689655</v>
      </c>
      <c r="G17" s="10">
        <f>1/('C2'!G17)</f>
        <v>0.008771929825</v>
      </c>
      <c r="H17" s="10">
        <f>1/('C2'!H17)</f>
        <v>0.008474576271</v>
      </c>
      <c r="I17" s="10">
        <f>1/('C2'!I17)</f>
        <v>0.003076923077</v>
      </c>
      <c r="J17" s="10">
        <f>1/('C2'!J17)</f>
        <v>0.00303030303</v>
      </c>
      <c r="K17" s="10">
        <f>1/('C2'!K17)</f>
        <v>0.004347826087</v>
      </c>
      <c r="L17" s="10">
        <f>1/('C2'!L17)</f>
        <v>0.003773584906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'R2'!A1</f>
        <v/>
      </c>
      <c r="B1" s="5" t="str">
        <f>'R2'!B1</f>
        <v>SOC = 0 [%]</v>
      </c>
      <c r="C1" s="5" t="str">
        <f>'R2'!C1</f>
        <v>SOC = 10 [%]</v>
      </c>
      <c r="D1" s="5" t="str">
        <f>'R2'!D1</f>
        <v>SOC = 20 [%]</v>
      </c>
      <c r="E1" s="5" t="str">
        <f>'R2'!E1</f>
        <v>SOC = 30 [%]</v>
      </c>
      <c r="F1" s="5" t="str">
        <f>'R2'!F1</f>
        <v>SOC = 40 [%]</v>
      </c>
      <c r="G1" s="5" t="str">
        <f>'R2'!G1</f>
        <v>SOC = 50 [%]</v>
      </c>
      <c r="H1" s="5" t="str">
        <f>'R2'!H1</f>
        <v>SOC = 60 [%]</v>
      </c>
      <c r="I1" s="5" t="str">
        <f>'R2'!I1</f>
        <v>SOC = 70 [%]</v>
      </c>
      <c r="J1" s="5" t="str">
        <f>'R2'!J1</f>
        <v>SOC = 80 [%]</v>
      </c>
      <c r="K1" s="5" t="str">
        <f>'R2'!K1</f>
        <v>SOC = 90 [%]</v>
      </c>
      <c r="L1" s="5" t="str">
        <f>'R2'!L1</f>
        <v>SOC = 100 [%]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tr">
        <f>'R2'!A2</f>
        <v>I= 1 [A]</v>
      </c>
      <c r="B2" s="10">
        <f>1/('R2'!B2*'C2'!B2)</f>
        <v>0.000174291939</v>
      </c>
      <c r="C2" s="10">
        <f>1/('R2'!C2*'C2'!C2)</f>
        <v>0.0001666666667</v>
      </c>
      <c r="D2" s="10">
        <f>1/('R2'!D2*'C2'!D2)</f>
        <v>0.0004310344828</v>
      </c>
      <c r="E2" s="10">
        <f>1/('R2'!E2*'C2'!E2)</f>
        <v>0.0003418803419</v>
      </c>
      <c r="F2" s="10">
        <f>1/('R2'!F2*'C2'!F2)</f>
        <v>0.0003109452736</v>
      </c>
      <c r="G2" s="10">
        <f>1/('R2'!G2*'C2'!G2)</f>
        <v>0.0003150598614</v>
      </c>
      <c r="H2" s="10">
        <f>1/('R2'!H2*'C2'!H2)</f>
        <v>0.0003341129302</v>
      </c>
      <c r="I2" s="10">
        <f>1/('R2'!I2*'C2'!I2)</f>
        <v>0.0003095975232</v>
      </c>
      <c r="J2" s="10">
        <f>1/('R2'!J2*'C2'!J2)</f>
        <v>0.0002580645161</v>
      </c>
      <c r="K2" s="10">
        <f>1/('R2'!K2*'C2'!K2)</f>
        <v>0.0002840909091</v>
      </c>
      <c r="L2" s="10">
        <f>1/('R2'!L2*'C2'!L2)</f>
        <v>0.0002777777778</v>
      </c>
    </row>
    <row r="3">
      <c r="A3" s="5" t="str">
        <f>'R2'!A3</f>
        <v>I= 2 [A]</v>
      </c>
      <c r="B3" s="10">
        <f>1/('R2'!B3*'C2'!B3)</f>
        <v>0.0001748251748</v>
      </c>
      <c r="C3" s="10">
        <f>1/('R2'!C3*'C2'!C3)</f>
        <v>0.0001831501832</v>
      </c>
      <c r="D3" s="10">
        <f>1/('R2'!D3*'C2'!D3)</f>
        <v>0.0005555555556</v>
      </c>
      <c r="E3" s="10">
        <f>1/('R2'!E3*'C2'!E3)</f>
        <v>0.0004081632653</v>
      </c>
      <c r="F3" s="10">
        <f>1/('R2'!F3*'C2'!F3)</f>
        <v>0.000365497076</v>
      </c>
      <c r="G3" s="10">
        <f>1/('R2'!G3*'C2'!G3)</f>
        <v>0.0003753753754</v>
      </c>
      <c r="H3" s="10">
        <f>1/('R2'!H3*'C2'!H3)</f>
        <v>0.0004135649297</v>
      </c>
      <c r="I3" s="10">
        <f>1/('R2'!I3*'C2'!I3)</f>
        <v>0.0003968253968</v>
      </c>
      <c r="J3" s="10">
        <f>1/('R2'!J3*'C2'!J3)</f>
        <v>0.000328407225</v>
      </c>
      <c r="K3" s="10">
        <f>1/('R2'!K3*'C2'!K3)</f>
        <v>0.0003636363636</v>
      </c>
      <c r="L3" s="10">
        <f>1/('R2'!L3*'C2'!L3)</f>
        <v>0.0003571428571</v>
      </c>
    </row>
    <row r="4">
      <c r="A4" s="5" t="str">
        <f>'R2'!A4</f>
        <v>I= 3 [A]</v>
      </c>
      <c r="B4" s="10">
        <f>1/('R2'!B4*'C2'!B4)</f>
        <v>0.0001955034213</v>
      </c>
      <c r="C4" s="10">
        <f>1/('R2'!C4*'C2'!C4)</f>
        <v>0.0002100840336</v>
      </c>
      <c r="D4" s="10">
        <f>1/('R2'!D4*'C2'!D4)</f>
        <v>0.0007575757576</v>
      </c>
      <c r="E4" s="10">
        <f>1/('R2'!E4*'C2'!E4)</f>
        <v>0.0005333333333</v>
      </c>
      <c r="F4" s="10">
        <f>1/('R2'!F4*'C2'!F4)</f>
        <v>0.0004638218924</v>
      </c>
      <c r="G4" s="10">
        <f>1/('R2'!G4*'C2'!G4)</f>
        <v>0.0004868549172</v>
      </c>
      <c r="H4" s="10">
        <f>1/('R2'!H4*'C2'!H4)</f>
        <v>0.0005602240896</v>
      </c>
      <c r="I4" s="10">
        <f>1/('R2'!I4*'C2'!I4)</f>
        <v>0.0006493506494</v>
      </c>
      <c r="J4" s="10">
        <f>1/('R2'!J4*'C2'!J4)</f>
        <v>0.0004848484848</v>
      </c>
      <c r="K4" s="10">
        <f>1/('R2'!K4*'C2'!K4)</f>
        <v>0.0005291005291</v>
      </c>
      <c r="L4" s="10">
        <f>1/('R2'!L4*'C2'!L4)</f>
        <v>0.0005434782609</v>
      </c>
    </row>
    <row r="5">
      <c r="A5" s="5" t="str">
        <f>'R2'!A5</f>
        <v>I= 4 [A]</v>
      </c>
      <c r="B5" s="10">
        <f>1/('R2'!B5*'C2'!B5)</f>
        <v>0.0002118644068</v>
      </c>
      <c r="C5" s="10">
        <f>1/('R2'!C5*'C2'!C5)</f>
        <v>0.0002276867031</v>
      </c>
      <c r="D5" s="10">
        <f>1/('R2'!D5*'C2'!D5)</f>
        <v>0.00117370892</v>
      </c>
      <c r="E5" s="10">
        <f>1/('R2'!E5*'C2'!E5)</f>
        <v>0.0006535947712</v>
      </c>
      <c r="F5" s="10">
        <f>1/('R2'!F5*'C2'!F5)</f>
        <v>0.0005434782609</v>
      </c>
      <c r="G5" s="10">
        <f>1/('R2'!G5*'C2'!G5)</f>
        <v>0.0005973715651</v>
      </c>
      <c r="H5" s="10">
        <f>1/('R2'!H5*'C2'!H5)</f>
        <v>0.0007849293564</v>
      </c>
      <c r="I5" s="10">
        <f>1/('R2'!I5*'C2'!I5)</f>
        <v>0.0008</v>
      </c>
      <c r="J5" s="10">
        <f>1/('R2'!J5*'C2'!J5)</f>
        <v>0.0006578947368</v>
      </c>
      <c r="K5" s="10">
        <f>1/('R2'!K5*'C2'!K5)</f>
        <v>0.000701754386</v>
      </c>
      <c r="L5" s="10">
        <f>1/('R2'!L5*'C2'!L5)</f>
        <v>0.0007936507937</v>
      </c>
    </row>
    <row r="6">
      <c r="A6" s="5" t="str">
        <f>'R2'!A6</f>
        <v>I= 5 [A]</v>
      </c>
      <c r="B6" s="10">
        <f>1/('R2'!B6*'C2'!B6)</f>
        <v>0.0002240143369</v>
      </c>
      <c r="C6" s="10">
        <f>1/('R2'!C6*'C2'!C6)</f>
        <v>0.0002374169041</v>
      </c>
      <c r="D6" s="10">
        <f>1/('R2'!D6*'C2'!D6)</f>
        <v>0.001666666667</v>
      </c>
      <c r="E6" s="10">
        <f>1/('R2'!E6*'C2'!E6)</f>
        <v>0.000777000777</v>
      </c>
      <c r="F6" s="10">
        <f>1/('R2'!F6*'C2'!F6)</f>
        <v>0.000664893617</v>
      </c>
      <c r="G6" s="10">
        <f>1/('R2'!G6*'C2'!G6)</f>
        <v>0.0007518796992</v>
      </c>
      <c r="H6" s="10">
        <f>1/('R2'!H6*'C2'!H6)</f>
        <v>0.001100110011</v>
      </c>
      <c r="I6" s="10">
        <f>1/('R2'!I6*'C2'!I6)</f>
        <v>0.001234567901</v>
      </c>
      <c r="J6" s="10">
        <f>1/('R2'!J6*'C2'!J6)</f>
        <v>0.001219512195</v>
      </c>
      <c r="K6" s="10">
        <f>1/('R2'!K6*'C2'!K6)</f>
        <v>0.001101928375</v>
      </c>
      <c r="L6" s="10">
        <f>1/('R2'!L6*'C2'!L6)</f>
        <v>0.001754385965</v>
      </c>
    </row>
    <row r="7">
      <c r="A7" s="5" t="str">
        <f>'R2'!A7</f>
        <v>I= 6 [A]</v>
      </c>
      <c r="B7" s="10">
        <f>1/('R2'!B7*'C2'!B7)</f>
        <v>0.0002442002442</v>
      </c>
      <c r="C7" s="10">
        <f>1/('R2'!C7*'C2'!C7)</f>
        <v>0.0002477393782</v>
      </c>
      <c r="D7" s="10">
        <f>1/('R2'!D7*'C2'!D7)</f>
        <v>0.002109704641</v>
      </c>
      <c r="E7" s="10">
        <f>1/('R2'!E7*'C2'!E7)</f>
        <v>0.000834028357</v>
      </c>
      <c r="F7" s="10">
        <f>1/('R2'!F7*'C2'!F7)</f>
        <v>0.0006802721088</v>
      </c>
      <c r="G7" s="10">
        <f>1/('R2'!G7*'C2'!G7)</f>
        <v>0.000786163522</v>
      </c>
      <c r="H7" s="10">
        <f>1/('R2'!H7*'C2'!H7)</f>
        <v>0.00131061599</v>
      </c>
      <c r="I7" s="10">
        <f>1/('R2'!I7*'C2'!I7)</f>
        <v>0.001176470588</v>
      </c>
      <c r="J7" s="10">
        <f>1/('R2'!J7*'C2'!J7)</f>
        <v>0.001298701299</v>
      </c>
      <c r="K7" s="10">
        <f>1/('R2'!K7*'C2'!K7)</f>
        <v>0.001058201058</v>
      </c>
      <c r="L7" s="10">
        <f>1/('R2'!L7*'C2'!L7)</f>
        <v>0.001818181818</v>
      </c>
    </row>
    <row r="8">
      <c r="A8" s="5" t="str">
        <f>'R2'!A8</f>
        <v>I= 7 [A]</v>
      </c>
      <c r="B8" s="10">
        <f>1/('R2'!B8*'C2'!B8)</f>
        <v>0.0002715177844</v>
      </c>
      <c r="C8" s="10">
        <f>1/('R2'!C8*'C2'!C8)</f>
        <v>0.0002736726875</v>
      </c>
      <c r="D8" s="10">
        <f>1/('R2'!D8*'C2'!D8)</f>
        <v>0.0025</v>
      </c>
      <c r="E8" s="10">
        <f>1/('R2'!E8*'C2'!E8)</f>
        <v>0.0008333333333</v>
      </c>
      <c r="F8" s="10">
        <f>1/('R2'!F8*'C2'!F8)</f>
        <v>0.0006993006993</v>
      </c>
      <c r="G8" s="10">
        <f>1/('R2'!G8*'C2'!G8)</f>
        <v>0.000834028357</v>
      </c>
      <c r="H8" s="10">
        <f>1/('R2'!H8*'C2'!H8)</f>
        <v>0.001501501502</v>
      </c>
      <c r="I8" s="10">
        <f>1/('R2'!I8*'C2'!I8)</f>
        <v>0.001315789474</v>
      </c>
      <c r="J8" s="10">
        <f>1/('R2'!J8*'C2'!J8)</f>
        <v>0.00170212766</v>
      </c>
      <c r="K8" s="10">
        <f>1/('R2'!K8*'C2'!K8)</f>
        <v>0.001238390093</v>
      </c>
      <c r="L8" s="10">
        <f>1/('R2'!L8*'C2'!L8)</f>
        <v>0.002116402116</v>
      </c>
    </row>
    <row r="9">
      <c r="A9" s="5" t="str">
        <f>'R2'!A9</f>
        <v>I= 8 [A]</v>
      </c>
      <c r="B9" s="10">
        <f>1/('R2'!B9*'C2'!B9)</f>
        <v>0.000306372549</v>
      </c>
      <c r="C9" s="10">
        <f>1/('R2'!C9*'C2'!C9)</f>
        <v>0.0003090282606</v>
      </c>
      <c r="D9" s="10">
        <f>1/('R2'!D9*'C2'!D9)</f>
        <v>0.003105590062</v>
      </c>
      <c r="E9" s="10">
        <f>1/('R2'!E9*'C2'!E9)</f>
        <v>0.0009107468124</v>
      </c>
      <c r="F9" s="10">
        <f>1/('R2'!F9*'C2'!F9)</f>
        <v>0.000744047619</v>
      </c>
      <c r="G9" s="10">
        <f>1/('R2'!G9*'C2'!G9)</f>
        <v>0.0009009009009</v>
      </c>
      <c r="H9" s="10">
        <f>1/('R2'!H9*'C2'!H9)</f>
        <v>0.001754385965</v>
      </c>
      <c r="I9" s="10">
        <f>1/('R2'!I9*'C2'!I9)</f>
        <v>0.00126984127</v>
      </c>
      <c r="J9" s="10">
        <f>1/('R2'!J9*'C2'!J9)</f>
        <v>0.001709401709</v>
      </c>
      <c r="K9" s="10">
        <f>1/('R2'!K9*'C2'!K9)</f>
        <v>0.00125</v>
      </c>
      <c r="L9" s="10">
        <f>1/('R2'!L9*'C2'!L9)</f>
        <v>0.00202020202</v>
      </c>
    </row>
    <row r="10">
      <c r="A10" s="5" t="str">
        <f>'R2'!A10</f>
        <v>I= 9 [A]</v>
      </c>
      <c r="B10" s="10">
        <f>1/('R2'!B10*'C2'!B10)</f>
        <v>0.0003537318712</v>
      </c>
      <c r="C10" s="10">
        <f>1/('R2'!C10*'C2'!C10)</f>
        <v>0.0003401013502</v>
      </c>
      <c r="D10" s="10">
        <f>1/('R2'!D10*'C2'!D10)</f>
        <v>0.00296735905</v>
      </c>
      <c r="E10" s="10">
        <f>1/('R2'!E10*'C2'!E10)</f>
        <v>0.0008960573477</v>
      </c>
      <c r="F10" s="10">
        <f>1/('R2'!F10*'C2'!F10)</f>
        <v>0.0007575757576</v>
      </c>
      <c r="G10" s="10">
        <f>1/('R2'!G10*'C2'!G10)</f>
        <v>0.0009009009009</v>
      </c>
      <c r="H10" s="10">
        <f>1/('R2'!H10*'C2'!H10)</f>
        <v>0.001739130435</v>
      </c>
      <c r="I10" s="10">
        <f>1/('R2'!I10*'C2'!I10)</f>
        <v>0.001449275362</v>
      </c>
      <c r="J10" s="10">
        <f>1/('R2'!J10*'C2'!J10)</f>
        <v>0.002469135802</v>
      </c>
      <c r="K10" s="10">
        <f>1/('R2'!K10*'C2'!K10)</f>
        <v>0.001500938086</v>
      </c>
      <c r="L10" s="10">
        <f>1/('R2'!L10*'C2'!L10)</f>
        <v>0.002898550725</v>
      </c>
    </row>
    <row r="11">
      <c r="A11" s="5" t="str">
        <f>'R2'!A11</f>
        <v>I= 10 [A]</v>
      </c>
      <c r="B11" s="10">
        <f>1/('R2'!B11*'C2'!B11)</f>
        <v>0.0003875968992</v>
      </c>
      <c r="C11" s="10">
        <f>1/('R2'!C11*'C2'!C11)</f>
        <v>0.0003728560776</v>
      </c>
      <c r="D11" s="10">
        <f>1/('R2'!D11*'C2'!D11)</f>
        <v>0.00315581854</v>
      </c>
      <c r="E11" s="10">
        <f>1/('R2'!E11*'C2'!E11)</f>
        <v>0.0009070294785</v>
      </c>
      <c r="F11" s="10">
        <f>1/('R2'!F11*'C2'!F11)</f>
        <v>0.000766724171</v>
      </c>
      <c r="G11" s="10">
        <f>1/('R2'!G11*'C2'!G11)</f>
        <v>0.0009157509158</v>
      </c>
      <c r="H11" s="10">
        <f>1/('R2'!H11*'C2'!H11)</f>
        <v>0.00178412132</v>
      </c>
      <c r="I11" s="10">
        <f>1/('R2'!I11*'C2'!I11)</f>
        <v>0.001454545455</v>
      </c>
      <c r="J11" s="10">
        <f>1/('R2'!J11*'C2'!J11)</f>
        <v>0.002807017544</v>
      </c>
      <c r="K11" s="10">
        <f>1/('R2'!K11*'C2'!K11)</f>
        <v>0.001587301587</v>
      </c>
      <c r="L11" s="10">
        <f>1/('R2'!L11*'C2'!L11)</f>
        <v>0.003404255319</v>
      </c>
    </row>
    <row r="12">
      <c r="A12" s="5" t="str">
        <f>'R2'!A12</f>
        <v>I= 11 [A]</v>
      </c>
      <c r="B12" s="10">
        <f>1/('R2'!B12*'C2'!B12)</f>
        <v>0.000429000429</v>
      </c>
      <c r="C12" s="10">
        <f>1/('R2'!C12*'C2'!C12)</f>
        <v>0.0004128989636</v>
      </c>
      <c r="D12" s="10">
        <f>1/('R2'!D12*'C2'!D12)</f>
        <v>0.003371260008</v>
      </c>
      <c r="E12" s="10">
        <f>1/('R2'!E12*'C2'!E12)</f>
        <v>0.0009263547939</v>
      </c>
      <c r="F12" s="10">
        <f>1/('R2'!F12*'C2'!F12)</f>
        <v>0.0007763975155</v>
      </c>
      <c r="G12" s="10">
        <f>1/('R2'!G12*'C2'!G12)</f>
        <v>0.0009315323707</v>
      </c>
      <c r="H12" s="10">
        <f>1/('R2'!H12*'C2'!H12)</f>
        <v>0.001851851852</v>
      </c>
      <c r="I12" s="10">
        <f>1/('R2'!I12*'C2'!I12)</f>
        <v>0.001428571429</v>
      </c>
      <c r="J12" s="10">
        <f>1/('R2'!J12*'C2'!J12)</f>
        <v>0.002259887006</v>
      </c>
      <c r="K12" s="10">
        <f>1/('R2'!K12*'C2'!K12)</f>
        <v>0.001429388222</v>
      </c>
      <c r="L12" s="10">
        <f>1/('R2'!L12*'C2'!L12)</f>
        <v>0.002032520325</v>
      </c>
    </row>
    <row r="13">
      <c r="A13" s="5" t="str">
        <f>'R2'!A13</f>
        <v>I= 12 [A]</v>
      </c>
      <c r="B13" s="10">
        <f>1/('R2'!B13*'C2'!B13)</f>
        <v>0.0004662004662</v>
      </c>
      <c r="C13" s="10">
        <f>1/('R2'!C13*'C2'!C13)</f>
        <v>0.0004489337823</v>
      </c>
      <c r="D13" s="10">
        <f>1/('R2'!D13*'C2'!D13)</f>
        <v>0.003619909502</v>
      </c>
      <c r="E13" s="10">
        <f>1/('R2'!E13*'C2'!E13)</f>
        <v>0.000946969697</v>
      </c>
      <c r="F13" s="10">
        <f>1/('R2'!F13*'C2'!F13)</f>
        <v>0.0008080808081</v>
      </c>
      <c r="G13" s="10">
        <f>1/('R2'!G13*'C2'!G13)</f>
        <v>0.001010356151</v>
      </c>
      <c r="H13" s="10">
        <f>1/('R2'!H13*'C2'!H13)</f>
        <v>0.001960784314</v>
      </c>
      <c r="I13" s="10">
        <f>1/('R2'!I13*'C2'!I13)</f>
        <v>0.001481481481</v>
      </c>
      <c r="J13" s="10">
        <f>1/('R2'!J13*'C2'!J13)</f>
        <v>0.00262295082</v>
      </c>
      <c r="K13" s="10">
        <f>1/('R2'!K13*'C2'!K13)</f>
        <v>0.00156128025</v>
      </c>
      <c r="L13" s="10">
        <f>1/('R2'!L13*'C2'!L13)</f>
        <v>0.002267573696</v>
      </c>
    </row>
    <row r="14">
      <c r="A14" s="5" t="str">
        <f>'R2'!A14</f>
        <v>I= 13 [A]</v>
      </c>
      <c r="B14" s="10">
        <f>1/('R2'!B14*'C2'!B14)</f>
        <v>0.0005120327701</v>
      </c>
      <c r="C14" s="10">
        <f>1/('R2'!C14*'C2'!C14)</f>
        <v>0.000493169601</v>
      </c>
      <c r="D14" s="10">
        <f>1/('R2'!D14*'C2'!D14)</f>
        <v>0.003760282021</v>
      </c>
      <c r="E14" s="10">
        <f>1/('R2'!E14*'C2'!E14)</f>
        <v>0.0009691096305</v>
      </c>
      <c r="F14" s="10">
        <f>1/('R2'!F14*'C2'!F14)</f>
        <v>0.0007816316561</v>
      </c>
      <c r="G14" s="10">
        <f>1/('R2'!G14*'C2'!G14)</f>
        <v>0.0009784735812</v>
      </c>
      <c r="H14" s="10">
        <f>1/('R2'!H14*'C2'!H14)</f>
        <v>0.002054442732</v>
      </c>
      <c r="I14" s="10">
        <f>1/('R2'!I14*'C2'!I14)</f>
        <v>0.001518026565</v>
      </c>
      <c r="J14" s="10">
        <f>1/('R2'!J14*'C2'!J14)</f>
        <v>0.002172968275</v>
      </c>
      <c r="K14" s="10">
        <f>1/('R2'!K14*'C2'!K14)</f>
        <v>0.001420202379</v>
      </c>
      <c r="L14" s="10">
        <f>1/('R2'!L14*'C2'!L14)</f>
        <v>0.001975308642</v>
      </c>
    </row>
    <row r="15">
      <c r="A15" s="5" t="str">
        <f>'R2'!A15</f>
        <v>I= 14 [A]</v>
      </c>
      <c r="B15" s="10">
        <f>1/('R2'!B15*'C2'!B15)</f>
        <v>0.0005473453749</v>
      </c>
      <c r="C15" s="10">
        <f>1/('R2'!C15*'C2'!C15)</f>
        <v>0.00052734272</v>
      </c>
      <c r="D15" s="10">
        <f>1/('R2'!D15*'C2'!D15)</f>
        <v>0.003910068426</v>
      </c>
      <c r="E15" s="10">
        <f>1/('R2'!E15*'C2'!E15)</f>
        <v>0.001</v>
      </c>
      <c r="F15" s="10">
        <f>1/('R2'!F15*'C2'!F15)</f>
        <v>0.0007704160247</v>
      </c>
      <c r="G15" s="10">
        <f>1/('R2'!G15*'C2'!G15)</f>
        <v>0.0009578544061</v>
      </c>
      <c r="H15" s="10">
        <f>1/('R2'!H15*'C2'!H15)</f>
        <v>0.002100840336</v>
      </c>
      <c r="I15" s="10">
        <f>1/('R2'!I15*'C2'!I15)</f>
        <v>0.001572327044</v>
      </c>
      <c r="J15" s="10">
        <f>1/('R2'!J15*'C2'!J15)</f>
        <v>0.002329373399</v>
      </c>
      <c r="K15" s="10">
        <f>1/('R2'!K15*'C2'!K15)</f>
        <v>0.001443001443</v>
      </c>
      <c r="L15" s="10">
        <f>1/('R2'!L15*'C2'!L15)</f>
        <v>0.002063983488</v>
      </c>
    </row>
    <row r="16">
      <c r="A16" s="5" t="str">
        <f>'R2'!A16</f>
        <v>I= 15 [A]</v>
      </c>
      <c r="B16" s="10">
        <f>1/('R2'!B16*'C2'!B16)</f>
        <v>0.000567182803</v>
      </c>
      <c r="C16" s="10">
        <f>1/('R2'!C16*'C2'!C16)</f>
        <v>0.0005465108018</v>
      </c>
      <c r="D16" s="10">
        <f>1/('R2'!D16*'C2'!D16)</f>
        <v>0.003907776475</v>
      </c>
      <c r="E16" s="10">
        <f>1/('R2'!E16*'C2'!E16)</f>
        <v>0.001008064516</v>
      </c>
      <c r="F16" s="10">
        <f>1/('R2'!F16*'C2'!F16)</f>
        <v>0.000790513834</v>
      </c>
      <c r="G16" s="10">
        <f>1/('R2'!G16*'C2'!G16)</f>
        <v>0.0009661835749</v>
      </c>
      <c r="H16" s="10">
        <f>1/('R2'!H16*'C2'!H16)</f>
        <v>0.002100840336</v>
      </c>
      <c r="I16" s="10">
        <f>1/('R2'!I16*'C2'!I16)</f>
        <v>0.0015625</v>
      </c>
      <c r="J16" s="10">
        <f>1/('R2'!J16*'C2'!J16)</f>
        <v>0.002286236854</v>
      </c>
      <c r="K16" s="10">
        <f>1/('R2'!K16*'C2'!K16)</f>
        <v>0.001410934744</v>
      </c>
      <c r="L16" s="10">
        <f>1/('R2'!L16*'C2'!L16)</f>
        <v>0.002024291498</v>
      </c>
    </row>
    <row r="17">
      <c r="A17" s="5" t="str">
        <f>'R2'!A17</f>
        <v>I= 16 [A]</v>
      </c>
      <c r="B17" s="10">
        <f>1/('R2'!B17*'C2'!B17)</f>
        <v>0.0006116207951</v>
      </c>
      <c r="C17" s="10">
        <f>1/('R2'!C17*'C2'!C17)</f>
        <v>0.0005894488653</v>
      </c>
      <c r="D17" s="10">
        <f>1/('R2'!D17*'C2'!D17)</f>
        <v>0.003969356567</v>
      </c>
      <c r="E17" s="10">
        <f>1/('R2'!E17*'C2'!E17)</f>
        <v>0.001006289308</v>
      </c>
      <c r="F17" s="10">
        <f>1/('R2'!F17*'C2'!F17)</f>
        <v>0.0007872775941</v>
      </c>
      <c r="G17" s="10">
        <f>1/('R2'!G17*'C2'!G17)</f>
        <v>0.000980103891</v>
      </c>
      <c r="H17" s="10">
        <f>1/('R2'!H17*'C2'!H17)</f>
        <v>0.002145462347</v>
      </c>
      <c r="I17" s="10">
        <f>1/('R2'!I17*'C2'!I17)</f>
        <v>0.00157790927</v>
      </c>
      <c r="J17" s="10">
        <f>1/('R2'!J17*'C2'!J17)</f>
        <v>0.002331002331</v>
      </c>
      <c r="K17" s="10">
        <f>1/('R2'!K17*'C2'!K17)</f>
        <v>0.001402524544</v>
      </c>
      <c r="L17" s="10">
        <f>1/('R2'!L17*'C2'!L17)</f>
        <v>0.002039775625</v>
      </c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3" t="str">
        <f t="shared" ref="B1:L1" si="1">"SOC = "&amp;10*(COLUMN()-2)&amp;" [%]"</f>
        <v>SOC = 0 [%]</v>
      </c>
      <c r="C1" s="23" t="str">
        <f t="shared" si="1"/>
        <v>SOC = 10 [%]</v>
      </c>
      <c r="D1" s="23" t="str">
        <f t="shared" si="1"/>
        <v>SOC = 20 [%]</v>
      </c>
      <c r="E1" s="23" t="str">
        <f t="shared" si="1"/>
        <v>SOC = 30 [%]</v>
      </c>
      <c r="F1" s="23" t="str">
        <f t="shared" si="1"/>
        <v>SOC = 40 [%]</v>
      </c>
      <c r="G1" s="23" t="str">
        <f t="shared" si="1"/>
        <v>SOC = 50 [%]</v>
      </c>
      <c r="H1" s="23" t="str">
        <f t="shared" si="1"/>
        <v>SOC = 60 [%]</v>
      </c>
      <c r="I1" s="23" t="str">
        <f t="shared" si="1"/>
        <v>SOC = 70 [%]</v>
      </c>
      <c r="J1" s="23" t="str">
        <f t="shared" si="1"/>
        <v>SOC = 80 [%]</v>
      </c>
      <c r="K1" s="23" t="str">
        <f t="shared" si="1"/>
        <v>SOC = 90 [%]</v>
      </c>
      <c r="L1" s="23" t="str">
        <f t="shared" si="1"/>
        <v>SOC = 100 [%]</v>
      </c>
      <c r="P1" s="9" t="s">
        <v>99</v>
      </c>
    </row>
    <row r="2">
      <c r="A2" s="23" t="str">
        <f t="shared" ref="A2:A17" si="2">"I= "&amp;1*(row()-1)&amp;" [A]"</f>
        <v>I= 1 [A]</v>
      </c>
      <c r="B2" s="22">
        <v>3.25</v>
      </c>
      <c r="C2" s="22">
        <v>4.0</v>
      </c>
      <c r="D2" s="22">
        <v>5.0</v>
      </c>
      <c r="E2" s="22">
        <v>6.75</v>
      </c>
      <c r="F2" s="22">
        <v>6.85</v>
      </c>
      <c r="G2" s="22">
        <v>7.75</v>
      </c>
      <c r="H2" s="22">
        <v>8.0</v>
      </c>
      <c r="I2" s="22">
        <v>9.0</v>
      </c>
      <c r="J2" s="22">
        <v>10.0</v>
      </c>
      <c r="K2" s="22">
        <v>11.0</v>
      </c>
      <c r="L2" s="22">
        <v>14.0</v>
      </c>
    </row>
    <row r="3">
      <c r="A3" s="23" t="str">
        <f t="shared" si="2"/>
        <v>I= 2 [A]</v>
      </c>
      <c r="B3" s="22">
        <v>3.35</v>
      </c>
      <c r="C3" s="22">
        <v>5.0</v>
      </c>
      <c r="D3" s="22">
        <v>6.25</v>
      </c>
      <c r="E3" s="22">
        <f>D3+2</f>
        <v>8.25</v>
      </c>
      <c r="F3" s="22">
        <v>12.9</v>
      </c>
      <c r="G3" s="22">
        <v>13.9</v>
      </c>
      <c r="H3" s="22">
        <v>12.9</v>
      </c>
      <c r="I3" s="22">
        <v>12.0</v>
      </c>
      <c r="J3" s="22">
        <v>13.25</v>
      </c>
      <c r="K3" s="22">
        <v>18.25</v>
      </c>
      <c r="L3" s="22">
        <v>18.75</v>
      </c>
    </row>
    <row r="4">
      <c r="A4" s="23" t="str">
        <f t="shared" si="2"/>
        <v>I= 3 [A]</v>
      </c>
      <c r="B4" s="22">
        <v>3.5</v>
      </c>
      <c r="C4" s="22">
        <v>6.0</v>
      </c>
      <c r="D4" s="22">
        <v>6.5</v>
      </c>
      <c r="E4" s="22">
        <v>8.0</v>
      </c>
      <c r="F4" s="22">
        <v>13.5</v>
      </c>
      <c r="G4" s="22">
        <v>15.0</v>
      </c>
      <c r="H4" s="22">
        <v>14.3</v>
      </c>
      <c r="I4" s="22">
        <v>12.3</v>
      </c>
      <c r="J4" s="22">
        <v>13.75</v>
      </c>
      <c r="K4" s="22">
        <v>18.5</v>
      </c>
      <c r="L4" s="22">
        <v>19.5</v>
      </c>
    </row>
    <row r="5">
      <c r="A5" s="23" t="str">
        <f t="shared" si="2"/>
        <v>I= 4 [A]</v>
      </c>
      <c r="B5" s="22">
        <v>5.0</v>
      </c>
      <c r="C5" s="22">
        <v>5.5</v>
      </c>
      <c r="D5" s="22">
        <v>6.0</v>
      </c>
      <c r="E5" s="22">
        <v>10.5</v>
      </c>
      <c r="F5" s="22">
        <v>14.0</v>
      </c>
      <c r="G5" s="22">
        <v>15.5</v>
      </c>
      <c r="H5" s="22">
        <v>15.4</v>
      </c>
      <c r="I5" s="22">
        <v>12.5</v>
      </c>
      <c r="J5" s="22">
        <v>14.0</v>
      </c>
      <c r="K5" s="22">
        <v>18.75</v>
      </c>
      <c r="L5" s="22">
        <v>19.8</v>
      </c>
    </row>
    <row r="6">
      <c r="A6" s="23" t="str">
        <f t="shared" si="2"/>
        <v>I= 5 [A]</v>
      </c>
      <c r="B6" s="22">
        <v>6.0</v>
      </c>
      <c r="C6" s="22">
        <v>5.0</v>
      </c>
      <c r="D6" s="22">
        <v>5.25</v>
      </c>
      <c r="E6" s="22">
        <v>12.0</v>
      </c>
      <c r="F6" s="22">
        <v>14.5</v>
      </c>
      <c r="G6" s="22">
        <v>16.0</v>
      </c>
      <c r="H6" s="22">
        <v>15.75</v>
      </c>
      <c r="I6" s="22">
        <v>12.8</v>
      </c>
      <c r="J6" s="22">
        <v>14.25</v>
      </c>
      <c r="K6" s="22">
        <v>19.0</v>
      </c>
      <c r="L6" s="22">
        <v>20.0</v>
      </c>
    </row>
    <row r="7">
      <c r="A7" s="23" t="str">
        <f t="shared" si="2"/>
        <v>I= 6 [A]</v>
      </c>
      <c r="B7" s="22">
        <v>5.0</v>
      </c>
      <c r="C7" s="22">
        <v>4.0</v>
      </c>
      <c r="D7" s="22">
        <v>6.0</v>
      </c>
      <c r="E7" s="22">
        <v>12.75</v>
      </c>
      <c r="F7" s="22">
        <v>15.0</v>
      </c>
      <c r="G7" s="22">
        <v>16.25</v>
      </c>
      <c r="H7" s="22">
        <v>16.0</v>
      </c>
      <c r="I7" s="22">
        <v>13.0</v>
      </c>
      <c r="J7" s="22">
        <v>14.7</v>
      </c>
      <c r="K7" s="22">
        <v>19.3</v>
      </c>
      <c r="L7" s="22">
        <v>20.4</v>
      </c>
    </row>
    <row r="8">
      <c r="A8" s="23" t="str">
        <f t="shared" si="2"/>
        <v>I= 7 [A]</v>
      </c>
      <c r="B8" s="22">
        <v>4.5</v>
      </c>
      <c r="C8" s="22">
        <v>4.35</v>
      </c>
      <c r="D8" s="22">
        <v>7.0</v>
      </c>
      <c r="E8" s="22">
        <v>13.25</v>
      </c>
      <c r="F8" s="22">
        <v>15.5</v>
      </c>
      <c r="G8" s="22">
        <v>16.4</v>
      </c>
      <c r="H8" s="22">
        <v>16.35</v>
      </c>
      <c r="I8" s="22">
        <v>13.25</v>
      </c>
      <c r="J8" s="22">
        <v>15.0</v>
      </c>
      <c r="K8" s="22">
        <v>19.6</v>
      </c>
      <c r="L8" s="22">
        <v>20.9</v>
      </c>
    </row>
    <row r="9">
      <c r="A9" s="23" t="str">
        <f t="shared" si="2"/>
        <v>I= 8 [A]</v>
      </c>
      <c r="B9" s="22">
        <v>4.25</v>
      </c>
      <c r="C9" s="22">
        <v>4.5</v>
      </c>
      <c r="D9" s="22">
        <v>8.0</v>
      </c>
      <c r="E9" s="22">
        <v>13.75</v>
      </c>
      <c r="F9" s="22">
        <v>15.9</v>
      </c>
      <c r="G9" s="22">
        <v>16.7</v>
      </c>
      <c r="H9" s="22">
        <v>16.5</v>
      </c>
      <c r="I9" s="22">
        <v>13.5</v>
      </c>
      <c r="J9" s="22">
        <v>15.4</v>
      </c>
      <c r="K9" s="22">
        <v>20.0</v>
      </c>
      <c r="L9" s="22">
        <v>21.3</v>
      </c>
    </row>
    <row r="10">
      <c r="A10" s="23" t="str">
        <f t="shared" si="2"/>
        <v>I= 9 [A]</v>
      </c>
      <c r="B10" s="22">
        <v>4.0</v>
      </c>
      <c r="C10" s="22">
        <v>5.0</v>
      </c>
      <c r="D10" s="22">
        <v>8.5</v>
      </c>
      <c r="E10" s="22">
        <v>14.25</v>
      </c>
      <c r="F10" s="22">
        <v>16.5</v>
      </c>
      <c r="G10" s="22">
        <v>17.2</v>
      </c>
      <c r="H10" s="22">
        <v>17.0</v>
      </c>
      <c r="I10" s="22">
        <v>14.0</v>
      </c>
      <c r="J10" s="22">
        <v>15.6</v>
      </c>
      <c r="K10" s="22">
        <v>19.7</v>
      </c>
      <c r="L10" s="22">
        <v>21.0</v>
      </c>
    </row>
    <row r="11">
      <c r="A11" s="23" t="str">
        <f t="shared" si="2"/>
        <v>I= 10 [A]</v>
      </c>
      <c r="B11" s="22">
        <v>3.75</v>
      </c>
      <c r="C11" s="22">
        <v>6.0</v>
      </c>
      <c r="D11" s="22">
        <v>8.75</v>
      </c>
      <c r="E11" s="22">
        <v>14.85</v>
      </c>
      <c r="F11" s="22">
        <v>16.9</v>
      </c>
      <c r="G11" s="22">
        <v>17.5</v>
      </c>
      <c r="H11" s="22">
        <v>17.25</v>
      </c>
      <c r="I11" s="22">
        <v>13.75</v>
      </c>
      <c r="J11" s="22">
        <v>15.8</v>
      </c>
      <c r="K11" s="22">
        <v>19.6</v>
      </c>
      <c r="L11" s="22">
        <v>20.0</v>
      </c>
    </row>
    <row r="12">
      <c r="A12" s="23" t="str">
        <f t="shared" si="2"/>
        <v>I= 11 [A]</v>
      </c>
      <c r="B12" s="22">
        <v>4.0</v>
      </c>
      <c r="C12" s="22">
        <v>7.0</v>
      </c>
      <c r="D12" s="22">
        <v>9.0</v>
      </c>
      <c r="E12" s="22">
        <v>14.25</v>
      </c>
      <c r="F12" s="22">
        <v>16.4</v>
      </c>
      <c r="G12" s="22">
        <v>17.3</v>
      </c>
      <c r="H12" s="22">
        <v>16.9</v>
      </c>
      <c r="I12" s="22">
        <v>14.0</v>
      </c>
      <c r="J12" s="22">
        <v>16.0</v>
      </c>
      <c r="K12" s="22">
        <v>18.0</v>
      </c>
      <c r="L12" s="22">
        <v>19.5</v>
      </c>
    </row>
    <row r="13">
      <c r="A13" s="23" t="str">
        <f t="shared" si="2"/>
        <v>I= 12 [A]</v>
      </c>
      <c r="B13" s="22">
        <v>3.85</v>
      </c>
      <c r="C13" s="22">
        <v>5.6</v>
      </c>
      <c r="D13" s="22">
        <v>8.5</v>
      </c>
      <c r="E13" s="22">
        <v>13.0</v>
      </c>
      <c r="F13" s="22">
        <v>15.6</v>
      </c>
      <c r="G13" s="22">
        <v>16.0</v>
      </c>
      <c r="H13" s="22">
        <v>15.5</v>
      </c>
      <c r="I13" s="22">
        <v>13.5</v>
      </c>
      <c r="J13" s="22">
        <v>15.7</v>
      </c>
      <c r="K13" s="22">
        <v>16.0</v>
      </c>
      <c r="L13" s="22">
        <v>17.0</v>
      </c>
    </row>
    <row r="14">
      <c r="A14" s="23" t="str">
        <f t="shared" si="2"/>
        <v>I= 13 [A]</v>
      </c>
      <c r="B14" s="22">
        <v>3.6</v>
      </c>
      <c r="C14" s="22">
        <v>5.0</v>
      </c>
      <c r="D14" s="22">
        <v>7.5</v>
      </c>
      <c r="E14" s="22">
        <v>11.75</v>
      </c>
      <c r="F14" s="22">
        <v>14.5</v>
      </c>
      <c r="G14" s="22">
        <v>15.0</v>
      </c>
      <c r="H14" s="22">
        <v>14.95</v>
      </c>
      <c r="I14" s="22">
        <v>13.0</v>
      </c>
      <c r="J14" s="22">
        <v>15.0</v>
      </c>
      <c r="K14" s="22">
        <v>15.0</v>
      </c>
      <c r="L14" s="22">
        <v>15.5</v>
      </c>
    </row>
    <row r="15">
      <c r="A15" s="23" t="str">
        <f t="shared" si="2"/>
        <v>I= 14 [A]</v>
      </c>
      <c r="B15" s="22">
        <v>3.65</v>
      </c>
      <c r="C15" s="22">
        <v>4.95</v>
      </c>
      <c r="D15" s="22">
        <v>6.5</v>
      </c>
      <c r="E15" s="22">
        <v>10.25</v>
      </c>
      <c r="F15" s="22">
        <v>13.25</v>
      </c>
      <c r="G15" s="22">
        <v>14.0</v>
      </c>
      <c r="H15" s="22">
        <v>14.1</v>
      </c>
      <c r="I15" s="22">
        <v>12.6</v>
      </c>
      <c r="J15" s="22">
        <v>14.0</v>
      </c>
      <c r="K15" s="22">
        <v>14.0</v>
      </c>
      <c r="L15" s="22">
        <v>14.7</v>
      </c>
    </row>
    <row r="16">
      <c r="A16" s="23" t="str">
        <f t="shared" si="2"/>
        <v>I= 15 [A]</v>
      </c>
      <c r="B16" s="22">
        <v>3.75</v>
      </c>
      <c r="C16" s="22">
        <v>4.75</v>
      </c>
      <c r="D16" s="22">
        <v>5.75</v>
      </c>
      <c r="E16" s="22">
        <v>8.5</v>
      </c>
      <c r="F16" s="22">
        <v>12.25</v>
      </c>
      <c r="G16" s="22">
        <v>12.8</v>
      </c>
      <c r="H16" s="22">
        <v>11.0</v>
      </c>
      <c r="I16" s="22">
        <v>12.4</v>
      </c>
      <c r="J16" s="22">
        <v>13.0</v>
      </c>
      <c r="K16" s="22">
        <v>13.5</v>
      </c>
      <c r="L16" s="22">
        <v>14.0</v>
      </c>
    </row>
    <row r="17">
      <c r="A17" s="23" t="str">
        <f t="shared" si="2"/>
        <v>I= 16 [A]</v>
      </c>
      <c r="B17" s="22">
        <v>4.25</v>
      </c>
      <c r="C17" s="22">
        <v>4.5</v>
      </c>
      <c r="D17" s="22">
        <v>5.0</v>
      </c>
      <c r="E17" s="22">
        <v>8.0</v>
      </c>
      <c r="F17" s="22">
        <v>10.5</v>
      </c>
      <c r="G17" s="22">
        <v>11.5</v>
      </c>
      <c r="H17" s="22">
        <v>11.0</v>
      </c>
      <c r="I17" s="22">
        <v>12.0</v>
      </c>
      <c r="J17" s="22">
        <v>12.4</v>
      </c>
      <c r="K17" s="22">
        <v>13.0</v>
      </c>
      <c r="L17" s="22">
        <v>13.5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'C1'!A1</f>
        <v/>
      </c>
      <c r="B1" s="5" t="str">
        <f>'C1'!B1</f>
        <v>SOC = 0 [%]</v>
      </c>
      <c r="C1" s="5" t="str">
        <f>'C1'!C1</f>
        <v>SOC = 10 [%]</v>
      </c>
      <c r="D1" s="5" t="str">
        <f>'C1'!D1</f>
        <v>SOC = 20 [%]</v>
      </c>
      <c r="E1" s="5" t="str">
        <f>'C1'!E1</f>
        <v>SOC = 30 [%]</v>
      </c>
      <c r="F1" s="5" t="str">
        <f>'C1'!F1</f>
        <v>SOC = 40 [%]</v>
      </c>
      <c r="G1" s="5" t="str">
        <f>'C1'!G1</f>
        <v>SOC = 50 [%]</v>
      </c>
      <c r="H1" s="5" t="str">
        <f>'C1'!H1</f>
        <v>SOC = 60 [%]</v>
      </c>
      <c r="I1" s="5" t="str">
        <f>'C1'!I1</f>
        <v>SOC = 70 [%]</v>
      </c>
      <c r="J1" s="5" t="str">
        <f>'C1'!J1</f>
        <v>SOC = 80 [%]</v>
      </c>
      <c r="K1" s="5" t="str">
        <f>'C1'!K1</f>
        <v>SOC = 90 [%]</v>
      </c>
      <c r="L1" s="5" t="str">
        <f>'C1'!L1</f>
        <v>SOC = 100 [%]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 t="str">
        <f>'C1'!A2</f>
        <v>I= 1 [A]</v>
      </c>
      <c r="B2" s="10">
        <f>1/'C1'!B2</f>
        <v>0.3076923077</v>
      </c>
      <c r="C2" s="10">
        <f>1/'C1'!C2</f>
        <v>0.25</v>
      </c>
      <c r="D2" s="10">
        <f>1/'C1'!D2</f>
        <v>0.2</v>
      </c>
      <c r="E2" s="10">
        <f>1/'C1'!E2</f>
        <v>0.1481481481</v>
      </c>
      <c r="F2" s="10">
        <f>1/'C1'!F2</f>
        <v>0.1459854015</v>
      </c>
      <c r="G2" s="10">
        <f>1/'C1'!G2</f>
        <v>0.1290322581</v>
      </c>
      <c r="H2" s="10">
        <f>1/'C1'!H2</f>
        <v>0.125</v>
      </c>
      <c r="I2" s="10">
        <f>1/'C1'!I2</f>
        <v>0.1111111111</v>
      </c>
      <c r="J2" s="10">
        <f>1/'C1'!J2</f>
        <v>0.1</v>
      </c>
      <c r="K2" s="10">
        <f>1/'C1'!K2</f>
        <v>0.09090909091</v>
      </c>
      <c r="L2" s="10">
        <f>1/'C1'!L2</f>
        <v>0.07142857143</v>
      </c>
    </row>
    <row r="3">
      <c r="A3" s="5" t="str">
        <f>'C1'!A3</f>
        <v>I= 2 [A]</v>
      </c>
      <c r="B3" s="10">
        <f>1/'C1'!B3</f>
        <v>0.2985074627</v>
      </c>
      <c r="C3" s="10">
        <f>1/'C1'!C3</f>
        <v>0.2</v>
      </c>
      <c r="D3" s="10">
        <f>1/'C1'!D3</f>
        <v>0.16</v>
      </c>
      <c r="E3" s="10">
        <f>1/'C1'!E3</f>
        <v>0.1212121212</v>
      </c>
      <c r="F3" s="10">
        <f>1/'C1'!F3</f>
        <v>0.07751937984</v>
      </c>
      <c r="G3" s="10">
        <f>1/'C1'!G3</f>
        <v>0.07194244604</v>
      </c>
      <c r="H3" s="10">
        <f>1/'C1'!H3</f>
        <v>0.07751937984</v>
      </c>
      <c r="I3" s="10">
        <f>1/'C1'!I3</f>
        <v>0.08333333333</v>
      </c>
      <c r="J3" s="10">
        <f>1/'C1'!J3</f>
        <v>0.07547169811</v>
      </c>
      <c r="K3" s="10">
        <f>1/'C1'!K3</f>
        <v>0.05479452055</v>
      </c>
      <c r="L3" s="10">
        <f>1/'C1'!L3</f>
        <v>0.05333333333</v>
      </c>
    </row>
    <row r="4">
      <c r="A4" s="5" t="str">
        <f>'C1'!A4</f>
        <v>I= 3 [A]</v>
      </c>
      <c r="B4" s="10">
        <f>1/'C1'!B4</f>
        <v>0.2857142857</v>
      </c>
      <c r="C4" s="10">
        <f>1/'C1'!C4</f>
        <v>0.1666666667</v>
      </c>
      <c r="D4" s="10">
        <f>1/'C1'!D4</f>
        <v>0.1538461538</v>
      </c>
      <c r="E4" s="10">
        <f>1/'C1'!E4</f>
        <v>0.125</v>
      </c>
      <c r="F4" s="10">
        <f>1/'C1'!F4</f>
        <v>0.07407407407</v>
      </c>
      <c r="G4" s="10">
        <f>1/'C1'!G4</f>
        <v>0.06666666667</v>
      </c>
      <c r="H4" s="10">
        <f>1/'C1'!H4</f>
        <v>0.06993006993</v>
      </c>
      <c r="I4" s="10">
        <f>1/'C1'!I4</f>
        <v>0.08130081301</v>
      </c>
      <c r="J4" s="10">
        <f>1/'C1'!J4</f>
        <v>0.07272727273</v>
      </c>
      <c r="K4" s="10">
        <f>1/'C1'!K4</f>
        <v>0.05405405405</v>
      </c>
      <c r="L4" s="10">
        <f>1/'C1'!L4</f>
        <v>0.05128205128</v>
      </c>
    </row>
    <row r="5">
      <c r="A5" s="5" t="str">
        <f>'C1'!A5</f>
        <v>I= 4 [A]</v>
      </c>
      <c r="B5" s="10">
        <f>1/'C1'!B5</f>
        <v>0.2</v>
      </c>
      <c r="C5" s="10">
        <f>1/'C1'!C5</f>
        <v>0.1818181818</v>
      </c>
      <c r="D5" s="10">
        <f>1/'C1'!D5</f>
        <v>0.1666666667</v>
      </c>
      <c r="E5" s="10">
        <f>1/'C1'!E5</f>
        <v>0.09523809524</v>
      </c>
      <c r="F5" s="10">
        <f>1/'C1'!F5</f>
        <v>0.07142857143</v>
      </c>
      <c r="G5" s="10">
        <f>1/'C1'!G5</f>
        <v>0.06451612903</v>
      </c>
      <c r="H5" s="10">
        <f>1/'C1'!H5</f>
        <v>0.06493506494</v>
      </c>
      <c r="I5" s="10">
        <f>1/'C1'!I5</f>
        <v>0.08</v>
      </c>
      <c r="J5" s="10">
        <f>1/'C1'!J5</f>
        <v>0.07142857143</v>
      </c>
      <c r="K5" s="10">
        <f>1/'C1'!K5</f>
        <v>0.05333333333</v>
      </c>
      <c r="L5" s="10">
        <f>1/'C1'!L5</f>
        <v>0.05050505051</v>
      </c>
    </row>
    <row r="6">
      <c r="A6" s="5" t="str">
        <f>'C1'!A6</f>
        <v>I= 5 [A]</v>
      </c>
      <c r="B6" s="10">
        <f>1/'C1'!B6</f>
        <v>0.1666666667</v>
      </c>
      <c r="C6" s="10">
        <f>1/'C1'!C6</f>
        <v>0.2</v>
      </c>
      <c r="D6" s="10">
        <f>1/'C1'!D6</f>
        <v>0.1904761905</v>
      </c>
      <c r="E6" s="10">
        <f>1/'C1'!E6</f>
        <v>0.08333333333</v>
      </c>
      <c r="F6" s="10">
        <f>1/'C1'!F6</f>
        <v>0.06896551724</v>
      </c>
      <c r="G6" s="10">
        <f>1/'C1'!G6</f>
        <v>0.0625</v>
      </c>
      <c r="H6" s="10">
        <f>1/'C1'!H6</f>
        <v>0.06349206349</v>
      </c>
      <c r="I6" s="10">
        <f>1/'C1'!I6</f>
        <v>0.078125</v>
      </c>
      <c r="J6" s="10">
        <f>1/'C1'!J6</f>
        <v>0.0701754386</v>
      </c>
      <c r="K6" s="10">
        <f>1/'C1'!K6</f>
        <v>0.05263157895</v>
      </c>
      <c r="L6" s="10">
        <f>1/'C1'!L6</f>
        <v>0.05</v>
      </c>
    </row>
    <row r="7">
      <c r="A7" s="5" t="str">
        <f>'C1'!A7</f>
        <v>I= 6 [A]</v>
      </c>
      <c r="B7" s="10">
        <f>1/'C1'!B7</f>
        <v>0.2</v>
      </c>
      <c r="C7" s="10">
        <f>1/'C1'!C7</f>
        <v>0.25</v>
      </c>
      <c r="D7" s="10">
        <f>1/'C1'!D7</f>
        <v>0.1666666667</v>
      </c>
      <c r="E7" s="10">
        <f>1/'C1'!E7</f>
        <v>0.07843137255</v>
      </c>
      <c r="F7" s="10">
        <f>1/'C1'!F7</f>
        <v>0.06666666667</v>
      </c>
      <c r="G7" s="10">
        <f>1/'C1'!G7</f>
        <v>0.06153846154</v>
      </c>
      <c r="H7" s="10">
        <f>1/'C1'!H7</f>
        <v>0.0625</v>
      </c>
      <c r="I7" s="10">
        <f>1/'C1'!I7</f>
        <v>0.07692307692</v>
      </c>
      <c r="J7" s="10">
        <f>1/'C1'!J7</f>
        <v>0.06802721088</v>
      </c>
      <c r="K7" s="10">
        <f>1/'C1'!K7</f>
        <v>0.0518134715</v>
      </c>
      <c r="L7" s="10">
        <f>1/'C1'!L7</f>
        <v>0.04901960784</v>
      </c>
    </row>
    <row r="8">
      <c r="A8" s="5" t="str">
        <f>'C1'!A8</f>
        <v>I= 7 [A]</v>
      </c>
      <c r="B8" s="10">
        <f>1/'C1'!B8</f>
        <v>0.2222222222</v>
      </c>
      <c r="C8" s="10">
        <f>1/'C1'!C8</f>
        <v>0.2298850575</v>
      </c>
      <c r="D8" s="10">
        <f>1/'C1'!D8</f>
        <v>0.1428571429</v>
      </c>
      <c r="E8" s="10">
        <f>1/'C1'!E8</f>
        <v>0.07547169811</v>
      </c>
      <c r="F8" s="10">
        <f>1/'C1'!F8</f>
        <v>0.06451612903</v>
      </c>
      <c r="G8" s="10">
        <f>1/'C1'!G8</f>
        <v>0.06097560976</v>
      </c>
      <c r="H8" s="10">
        <f>1/'C1'!H8</f>
        <v>0.06116207951</v>
      </c>
      <c r="I8" s="10">
        <f>1/'C1'!I8</f>
        <v>0.07547169811</v>
      </c>
      <c r="J8" s="10">
        <f>1/'C1'!J8</f>
        <v>0.06666666667</v>
      </c>
      <c r="K8" s="10">
        <f>1/'C1'!K8</f>
        <v>0.05102040816</v>
      </c>
      <c r="L8" s="10">
        <f>1/'C1'!L8</f>
        <v>0.04784688995</v>
      </c>
    </row>
    <row r="9">
      <c r="A9" s="5" t="str">
        <f>'C1'!A9</f>
        <v>I= 8 [A]</v>
      </c>
      <c r="B9" s="10">
        <f>1/'C1'!B9</f>
        <v>0.2352941176</v>
      </c>
      <c r="C9" s="10">
        <f>1/'C1'!C9</f>
        <v>0.2222222222</v>
      </c>
      <c r="D9" s="10">
        <f>1/'C1'!D9</f>
        <v>0.125</v>
      </c>
      <c r="E9" s="10">
        <f>1/'C1'!E9</f>
        <v>0.07272727273</v>
      </c>
      <c r="F9" s="10">
        <f>1/'C1'!F9</f>
        <v>0.06289308176</v>
      </c>
      <c r="G9" s="10">
        <f>1/'C1'!G9</f>
        <v>0.05988023952</v>
      </c>
      <c r="H9" s="10">
        <f>1/'C1'!H9</f>
        <v>0.06060606061</v>
      </c>
      <c r="I9" s="10">
        <f>1/'C1'!I9</f>
        <v>0.07407407407</v>
      </c>
      <c r="J9" s="10">
        <f>1/'C1'!J9</f>
        <v>0.06493506494</v>
      </c>
      <c r="K9" s="10">
        <f>1/'C1'!K9</f>
        <v>0.05</v>
      </c>
      <c r="L9" s="10">
        <f>1/'C1'!L9</f>
        <v>0.04694835681</v>
      </c>
    </row>
    <row r="10">
      <c r="A10" s="5" t="str">
        <f>'C1'!A10</f>
        <v>I= 9 [A]</v>
      </c>
      <c r="B10" s="10">
        <f>1/'C1'!B10</f>
        <v>0.25</v>
      </c>
      <c r="C10" s="10">
        <f>1/'C1'!C10</f>
        <v>0.2</v>
      </c>
      <c r="D10" s="10">
        <f>1/'C1'!D10</f>
        <v>0.1176470588</v>
      </c>
      <c r="E10" s="10">
        <f>1/'C1'!E10</f>
        <v>0.0701754386</v>
      </c>
      <c r="F10" s="10">
        <f>1/'C1'!F10</f>
        <v>0.06060606061</v>
      </c>
      <c r="G10" s="10">
        <f>1/'C1'!G10</f>
        <v>0.05813953488</v>
      </c>
      <c r="H10" s="10">
        <f>1/'C1'!H10</f>
        <v>0.05882352941</v>
      </c>
      <c r="I10" s="10">
        <f>1/'C1'!I10</f>
        <v>0.07142857143</v>
      </c>
      <c r="J10" s="10">
        <f>1/'C1'!J10</f>
        <v>0.0641025641</v>
      </c>
      <c r="K10" s="10">
        <f>1/'C1'!K10</f>
        <v>0.05076142132</v>
      </c>
      <c r="L10" s="10">
        <f>1/'C1'!L10</f>
        <v>0.04761904762</v>
      </c>
    </row>
    <row r="11">
      <c r="A11" s="5" t="str">
        <f>'C1'!A11</f>
        <v>I= 10 [A]</v>
      </c>
      <c r="B11" s="10">
        <f>1/'C1'!B11</f>
        <v>0.2666666667</v>
      </c>
      <c r="C11" s="10">
        <f>1/'C1'!C11</f>
        <v>0.1666666667</v>
      </c>
      <c r="D11" s="10">
        <f>1/'C1'!D11</f>
        <v>0.1142857143</v>
      </c>
      <c r="E11" s="10">
        <f>1/'C1'!E11</f>
        <v>0.06734006734</v>
      </c>
      <c r="F11" s="10">
        <f>1/'C1'!F11</f>
        <v>0.05917159763</v>
      </c>
      <c r="G11" s="10">
        <f>1/'C1'!G11</f>
        <v>0.05714285714</v>
      </c>
      <c r="H11" s="10">
        <f>1/'C1'!H11</f>
        <v>0.05797101449</v>
      </c>
      <c r="I11" s="10">
        <f>1/'C1'!I11</f>
        <v>0.07272727273</v>
      </c>
      <c r="J11" s="10">
        <f>1/'C1'!J11</f>
        <v>0.06329113924</v>
      </c>
      <c r="K11" s="10">
        <f>1/'C1'!K11</f>
        <v>0.05102040816</v>
      </c>
      <c r="L11" s="10">
        <f>1/'C1'!L11</f>
        <v>0.05</v>
      </c>
    </row>
    <row r="12">
      <c r="A12" s="5" t="str">
        <f>'C1'!A12</f>
        <v>I= 11 [A]</v>
      </c>
      <c r="B12" s="10">
        <f>1/'C1'!B12</f>
        <v>0.25</v>
      </c>
      <c r="C12" s="10">
        <f>1/'C1'!C12</f>
        <v>0.1428571429</v>
      </c>
      <c r="D12" s="10">
        <f>1/'C1'!D12</f>
        <v>0.1111111111</v>
      </c>
      <c r="E12" s="10">
        <f>1/'C1'!E12</f>
        <v>0.0701754386</v>
      </c>
      <c r="F12" s="10">
        <f>1/'C1'!F12</f>
        <v>0.06097560976</v>
      </c>
      <c r="G12" s="10">
        <f>1/'C1'!G12</f>
        <v>0.05780346821</v>
      </c>
      <c r="H12" s="10">
        <f>1/'C1'!H12</f>
        <v>0.05917159763</v>
      </c>
      <c r="I12" s="10">
        <f>1/'C1'!I12</f>
        <v>0.07142857143</v>
      </c>
      <c r="J12" s="10">
        <f>1/'C1'!J12</f>
        <v>0.0625</v>
      </c>
      <c r="K12" s="10">
        <f>1/'C1'!K12</f>
        <v>0.05555555556</v>
      </c>
      <c r="L12" s="10">
        <f>1/'C1'!L12</f>
        <v>0.05128205128</v>
      </c>
    </row>
    <row r="13">
      <c r="A13" s="5" t="str">
        <f>'C1'!A13</f>
        <v>I= 12 [A]</v>
      </c>
      <c r="B13" s="10">
        <f>1/'C1'!B13</f>
        <v>0.2597402597</v>
      </c>
      <c r="C13" s="10">
        <f>1/'C1'!C13</f>
        <v>0.1785714286</v>
      </c>
      <c r="D13" s="10">
        <f>1/'C1'!D13</f>
        <v>0.1176470588</v>
      </c>
      <c r="E13" s="10">
        <f>1/'C1'!E13</f>
        <v>0.07692307692</v>
      </c>
      <c r="F13" s="10">
        <f>1/'C1'!F13</f>
        <v>0.0641025641</v>
      </c>
      <c r="G13" s="10">
        <f>1/'C1'!G13</f>
        <v>0.0625</v>
      </c>
      <c r="H13" s="10">
        <f>1/'C1'!H13</f>
        <v>0.06451612903</v>
      </c>
      <c r="I13" s="10">
        <f>1/'C1'!I13</f>
        <v>0.07407407407</v>
      </c>
      <c r="J13" s="10">
        <f>1/'C1'!J13</f>
        <v>0.06369426752</v>
      </c>
      <c r="K13" s="10">
        <f>1/'C1'!K13</f>
        <v>0.0625</v>
      </c>
      <c r="L13" s="10">
        <f>1/'C1'!L13</f>
        <v>0.05882352941</v>
      </c>
    </row>
    <row r="14">
      <c r="A14" s="5" t="str">
        <f>'C1'!A14</f>
        <v>I= 13 [A]</v>
      </c>
      <c r="B14" s="10">
        <f>1/'C1'!B14</f>
        <v>0.2777777778</v>
      </c>
      <c r="C14" s="10">
        <f>1/'C1'!C14</f>
        <v>0.2</v>
      </c>
      <c r="D14" s="10">
        <f>1/'C1'!D14</f>
        <v>0.1333333333</v>
      </c>
      <c r="E14" s="10">
        <f>1/'C1'!E14</f>
        <v>0.08510638298</v>
      </c>
      <c r="F14" s="10">
        <f>1/'C1'!F14</f>
        <v>0.06896551724</v>
      </c>
      <c r="G14" s="10">
        <f>1/'C1'!G14</f>
        <v>0.06666666667</v>
      </c>
      <c r="H14" s="10">
        <f>1/'C1'!H14</f>
        <v>0.06688963211</v>
      </c>
      <c r="I14" s="10">
        <f>1/'C1'!I14</f>
        <v>0.07692307692</v>
      </c>
      <c r="J14" s="10">
        <f>1/'C1'!J14</f>
        <v>0.06666666667</v>
      </c>
      <c r="K14" s="10">
        <f>1/'C1'!K14</f>
        <v>0.06666666667</v>
      </c>
      <c r="L14" s="10">
        <f>1/'C1'!L14</f>
        <v>0.06451612903</v>
      </c>
    </row>
    <row r="15">
      <c r="A15" s="5" t="str">
        <f>'C1'!A15</f>
        <v>I= 14 [A]</v>
      </c>
      <c r="B15" s="10">
        <f>1/'C1'!B15</f>
        <v>0.2739726027</v>
      </c>
      <c r="C15" s="10">
        <f>1/'C1'!C15</f>
        <v>0.202020202</v>
      </c>
      <c r="D15" s="10">
        <f>1/'C1'!D15</f>
        <v>0.1538461538</v>
      </c>
      <c r="E15" s="10">
        <f>1/'C1'!E15</f>
        <v>0.09756097561</v>
      </c>
      <c r="F15" s="10">
        <f>1/'C1'!F15</f>
        <v>0.07547169811</v>
      </c>
      <c r="G15" s="10">
        <f>1/'C1'!G15</f>
        <v>0.07142857143</v>
      </c>
      <c r="H15" s="10">
        <f>1/'C1'!H15</f>
        <v>0.07092198582</v>
      </c>
      <c r="I15" s="10">
        <f>1/'C1'!I15</f>
        <v>0.07936507937</v>
      </c>
      <c r="J15" s="10">
        <f>1/'C1'!J15</f>
        <v>0.07142857143</v>
      </c>
      <c r="K15" s="10">
        <f>1/'C1'!K15</f>
        <v>0.07142857143</v>
      </c>
      <c r="L15" s="10">
        <f>1/'C1'!L15</f>
        <v>0.06802721088</v>
      </c>
    </row>
    <row r="16">
      <c r="A16" s="5" t="str">
        <f>'C1'!A16</f>
        <v>I= 15 [A]</v>
      </c>
      <c r="B16" s="10">
        <f>1/'C1'!B16</f>
        <v>0.2666666667</v>
      </c>
      <c r="C16" s="10">
        <f>1/'C1'!C16</f>
        <v>0.2105263158</v>
      </c>
      <c r="D16" s="10">
        <f>1/'C1'!D16</f>
        <v>0.1739130435</v>
      </c>
      <c r="E16" s="10">
        <f>1/'C1'!E16</f>
        <v>0.1176470588</v>
      </c>
      <c r="F16" s="10">
        <f>1/'C1'!F16</f>
        <v>0.08163265306</v>
      </c>
      <c r="G16" s="10">
        <f>1/'C1'!G16</f>
        <v>0.078125</v>
      </c>
      <c r="H16" s="10">
        <f>1/'C1'!H16</f>
        <v>0.09090909091</v>
      </c>
      <c r="I16" s="10">
        <f>1/'C1'!I16</f>
        <v>0.08064516129</v>
      </c>
      <c r="J16" s="10">
        <f>1/'C1'!J16</f>
        <v>0.07692307692</v>
      </c>
      <c r="K16" s="10">
        <f>1/'C1'!K16</f>
        <v>0.07407407407</v>
      </c>
      <c r="L16" s="10">
        <f>1/'C1'!L16</f>
        <v>0.07142857143</v>
      </c>
    </row>
    <row r="17">
      <c r="A17" s="5" t="str">
        <f>'C1'!A17</f>
        <v>I= 16 [A]</v>
      </c>
      <c r="B17" s="10">
        <f>1/'C1'!B17</f>
        <v>0.2352941176</v>
      </c>
      <c r="C17" s="10">
        <f>1/'C1'!C17</f>
        <v>0.2222222222</v>
      </c>
      <c r="D17" s="10">
        <f>1/'C1'!D17</f>
        <v>0.2</v>
      </c>
      <c r="E17" s="10">
        <f>1/'C1'!E17</f>
        <v>0.125</v>
      </c>
      <c r="F17" s="10">
        <f>1/'C1'!F17</f>
        <v>0.09523809524</v>
      </c>
      <c r="G17" s="10">
        <f>1/'C1'!G17</f>
        <v>0.08695652174</v>
      </c>
      <c r="H17" s="10">
        <f>1/'C1'!H17</f>
        <v>0.09090909091</v>
      </c>
      <c r="I17" s="10">
        <f>1/'C1'!I17</f>
        <v>0.08333333333</v>
      </c>
      <c r="J17" s="10">
        <f>1/'C1'!J17</f>
        <v>0.08064516129</v>
      </c>
      <c r="K17" s="10">
        <f>1/'C1'!K17</f>
        <v>0.07692307692</v>
      </c>
      <c r="L17" s="10">
        <f>1/'C1'!L17</f>
        <v>0.07407407407</v>
      </c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/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77</v>
      </c>
      <c r="J1" s="4" t="s">
        <v>78</v>
      </c>
      <c r="K1" s="4" t="s">
        <v>79</v>
      </c>
      <c r="L1" s="4" t="s">
        <v>80</v>
      </c>
      <c r="M1" s="5" t="str">
        <f t="shared" ref="M1:X1" si="1">A1</f>
        <v/>
      </c>
      <c r="N1" s="5" t="str">
        <f t="shared" si="1"/>
        <v>SOC = 0 [%]</v>
      </c>
      <c r="O1" s="5" t="str">
        <f t="shared" si="1"/>
        <v>SOC = 10 [%]</v>
      </c>
      <c r="P1" s="5" t="str">
        <f t="shared" si="1"/>
        <v>SOC = 20 [%]</v>
      </c>
      <c r="Q1" s="5" t="str">
        <f t="shared" si="1"/>
        <v>SOC = 30 [%]</v>
      </c>
      <c r="R1" s="5" t="str">
        <f t="shared" si="1"/>
        <v>SOC = 40 [%]</v>
      </c>
      <c r="S1" s="5" t="str">
        <f t="shared" si="1"/>
        <v>SOC = 50 [%]</v>
      </c>
      <c r="T1" s="5" t="str">
        <f t="shared" si="1"/>
        <v>SOC = 60 [%]</v>
      </c>
      <c r="U1" s="5" t="str">
        <f t="shared" si="1"/>
        <v>SOC = 70 [%]</v>
      </c>
      <c r="V1" s="5" t="str">
        <f t="shared" si="1"/>
        <v>SOC = 80 [%]</v>
      </c>
      <c r="W1" s="5" t="str">
        <f t="shared" si="1"/>
        <v>SOC = 90 [%]</v>
      </c>
      <c r="X1" s="5" t="str">
        <f t="shared" si="1"/>
        <v>SOC = 100 [%]</v>
      </c>
      <c r="Y1" s="5"/>
      <c r="Z1" s="5"/>
      <c r="AA1" s="5"/>
    </row>
    <row r="2">
      <c r="A2" s="4" t="s">
        <v>81</v>
      </c>
      <c r="B2" s="19">
        <v>0.00315581854</v>
      </c>
      <c r="C2" s="19">
        <v>0.005</v>
      </c>
      <c r="D2" s="19">
        <v>0.01</v>
      </c>
      <c r="E2" s="19">
        <v>0.00987654321</v>
      </c>
      <c r="F2" s="19">
        <v>0.01216545012</v>
      </c>
      <c r="G2" s="19">
        <v>0.01290322581</v>
      </c>
      <c r="H2" s="19">
        <v>0.01388888889</v>
      </c>
      <c r="I2" s="19">
        <v>0.01307189542</v>
      </c>
      <c r="J2" s="19">
        <v>0.01212121212</v>
      </c>
      <c r="K2" s="19">
        <v>0.01136363636</v>
      </c>
      <c r="L2" s="19">
        <v>0.009070294785</v>
      </c>
      <c r="M2" s="5" t="str">
        <f t="shared" ref="M2:M17" si="3">A2</f>
        <v>I= 1 [A]</v>
      </c>
      <c r="N2" s="10">
        <f t="shared" ref="N2:X2" si="2">(2^5)*B2</f>
        <v>0.1009861933</v>
      </c>
      <c r="O2" s="10">
        <f t="shared" si="2"/>
        <v>0.16</v>
      </c>
      <c r="P2" s="10">
        <f t="shared" si="2"/>
        <v>0.32</v>
      </c>
      <c r="Q2" s="10">
        <f t="shared" si="2"/>
        <v>0.3160493827</v>
      </c>
      <c r="R2" s="10">
        <f t="shared" si="2"/>
        <v>0.3892944038</v>
      </c>
      <c r="S2" s="10">
        <f t="shared" si="2"/>
        <v>0.4129032259</v>
      </c>
      <c r="T2" s="10">
        <f t="shared" si="2"/>
        <v>0.4444444445</v>
      </c>
      <c r="U2" s="10">
        <f t="shared" si="2"/>
        <v>0.4183006534</v>
      </c>
      <c r="V2" s="10">
        <f t="shared" si="2"/>
        <v>0.3878787878</v>
      </c>
      <c r="W2" s="10">
        <f t="shared" si="2"/>
        <v>0.3636363635</v>
      </c>
      <c r="X2" s="10">
        <f t="shared" si="2"/>
        <v>0.2902494331</v>
      </c>
    </row>
    <row r="3">
      <c r="A3" s="4" t="s">
        <v>82</v>
      </c>
      <c r="B3" s="19">
        <v>0.003596475454</v>
      </c>
      <c r="C3" s="19">
        <v>0.004698795181</v>
      </c>
      <c r="D3" s="19">
        <v>0.009397590361</v>
      </c>
      <c r="E3" s="19">
        <v>0.009492515517</v>
      </c>
      <c r="F3" s="19">
        <v>0.007588493509</v>
      </c>
      <c r="G3" s="19">
        <v>0.007378712415</v>
      </c>
      <c r="H3" s="19">
        <v>0.008834117361</v>
      </c>
      <c r="I3" s="19">
        <v>0.01005530417</v>
      </c>
      <c r="J3" s="19">
        <v>0.009382650892</v>
      </c>
      <c r="K3" s="19">
        <v>0.007024938532</v>
      </c>
      <c r="L3" s="19">
        <v>0.006946140279</v>
      </c>
      <c r="M3" s="5" t="str">
        <f t="shared" si="3"/>
        <v>I= 2 [A]</v>
      </c>
      <c r="N3" s="10">
        <f t="shared" ref="N3:X3" si="4">(2^5)*B3</f>
        <v>0.1150872145</v>
      </c>
      <c r="O3" s="10">
        <f t="shared" si="4"/>
        <v>0.1503614458</v>
      </c>
      <c r="P3" s="10">
        <f t="shared" si="4"/>
        <v>0.3007228916</v>
      </c>
      <c r="Q3" s="10">
        <f t="shared" si="4"/>
        <v>0.3037604965</v>
      </c>
      <c r="R3" s="10">
        <f t="shared" si="4"/>
        <v>0.2428317923</v>
      </c>
      <c r="S3" s="10">
        <f t="shared" si="4"/>
        <v>0.2361187973</v>
      </c>
      <c r="T3" s="10">
        <f t="shared" si="4"/>
        <v>0.2826917556</v>
      </c>
      <c r="U3" s="10">
        <f t="shared" si="4"/>
        <v>0.3217697334</v>
      </c>
      <c r="V3" s="10">
        <f t="shared" si="4"/>
        <v>0.3002448285</v>
      </c>
      <c r="W3" s="10">
        <f t="shared" si="4"/>
        <v>0.224798033</v>
      </c>
      <c r="X3" s="10">
        <f t="shared" si="4"/>
        <v>0.2222764889</v>
      </c>
    </row>
    <row r="4">
      <c r="A4" s="4" t="s">
        <v>83</v>
      </c>
      <c r="B4" s="19">
        <v>0.003759398496</v>
      </c>
      <c r="C4" s="19">
        <v>0.004276315789</v>
      </c>
      <c r="D4" s="19">
        <v>0.009868421053</v>
      </c>
      <c r="E4" s="19">
        <v>0.01069078947</v>
      </c>
      <c r="F4" s="19">
        <v>0.004437617341</v>
      </c>
      <c r="G4" s="19">
        <v>0.00701754386</v>
      </c>
      <c r="H4" s="19">
        <v>0.008178955547</v>
      </c>
      <c r="I4" s="19">
        <v>0.01006821214</v>
      </c>
      <c r="J4" s="19">
        <v>0.009279396839</v>
      </c>
      <c r="K4" s="19">
        <v>0.007112375533</v>
      </c>
      <c r="L4" s="19">
        <v>0.006854743697</v>
      </c>
      <c r="M4" s="5" t="str">
        <f t="shared" si="3"/>
        <v>I= 3 [A]</v>
      </c>
      <c r="N4" s="10">
        <f t="shared" ref="N4:X4" si="5">(2^5)*B4</f>
        <v>0.1203007519</v>
      </c>
      <c r="O4" s="10">
        <f t="shared" si="5"/>
        <v>0.1368421052</v>
      </c>
      <c r="P4" s="10">
        <f t="shared" si="5"/>
        <v>0.3157894737</v>
      </c>
      <c r="Q4" s="10">
        <f t="shared" si="5"/>
        <v>0.342105263</v>
      </c>
      <c r="R4" s="10">
        <f t="shared" si="5"/>
        <v>0.1420037549</v>
      </c>
      <c r="S4" s="10">
        <f t="shared" si="5"/>
        <v>0.2245614035</v>
      </c>
      <c r="T4" s="10">
        <f t="shared" si="5"/>
        <v>0.2617265775</v>
      </c>
      <c r="U4" s="10">
        <f t="shared" si="5"/>
        <v>0.3221827885</v>
      </c>
      <c r="V4" s="10">
        <f t="shared" si="5"/>
        <v>0.2969406988</v>
      </c>
      <c r="W4" s="10">
        <f t="shared" si="5"/>
        <v>0.2275960171</v>
      </c>
      <c r="X4" s="10">
        <f t="shared" si="5"/>
        <v>0.2193517983</v>
      </c>
    </row>
    <row r="5">
      <c r="A5" s="4" t="s">
        <v>84</v>
      </c>
      <c r="B5" s="19">
        <v>0.002898550725</v>
      </c>
      <c r="C5" s="19">
        <v>0.005138339921</v>
      </c>
      <c r="D5" s="19">
        <v>0.01177536232</v>
      </c>
      <c r="E5" s="19">
        <v>0.008971704624</v>
      </c>
      <c r="F5" s="19">
        <v>0.00457424349</v>
      </c>
      <c r="G5" s="19">
        <v>0.006863417982</v>
      </c>
      <c r="H5" s="19">
        <v>0.00767553959</v>
      </c>
      <c r="I5" s="19">
        <v>0.01001251564</v>
      </c>
      <c r="J5" s="19">
        <v>0.009210647509</v>
      </c>
      <c r="K5" s="19">
        <v>0.007092198582</v>
      </c>
      <c r="L5" s="19">
        <v>0.006822701858</v>
      </c>
      <c r="M5" s="5" t="str">
        <f t="shared" si="3"/>
        <v>I= 4 [A]</v>
      </c>
      <c r="N5" s="10">
        <f t="shared" ref="N5:X5" si="6">(2^5)*B5</f>
        <v>0.0927536232</v>
      </c>
      <c r="O5" s="10">
        <f t="shared" si="6"/>
        <v>0.1644268775</v>
      </c>
      <c r="P5" s="10">
        <f t="shared" si="6"/>
        <v>0.3768115942</v>
      </c>
      <c r="Q5" s="10">
        <f t="shared" si="6"/>
        <v>0.287094548</v>
      </c>
      <c r="R5" s="10">
        <f t="shared" si="6"/>
        <v>0.1463757917</v>
      </c>
      <c r="S5" s="10">
        <f t="shared" si="6"/>
        <v>0.2196293754</v>
      </c>
      <c r="T5" s="10">
        <f t="shared" si="6"/>
        <v>0.2456172669</v>
      </c>
      <c r="U5" s="10">
        <f t="shared" si="6"/>
        <v>0.3204005005</v>
      </c>
      <c r="V5" s="10">
        <f t="shared" si="6"/>
        <v>0.2947407203</v>
      </c>
      <c r="W5" s="10">
        <f t="shared" si="6"/>
        <v>0.2269503546</v>
      </c>
      <c r="X5" s="10">
        <f t="shared" si="6"/>
        <v>0.2183264595</v>
      </c>
    </row>
    <row r="6">
      <c r="A6" s="4" t="s">
        <v>85</v>
      </c>
      <c r="B6" s="19">
        <v>0.002645502646</v>
      </c>
      <c r="C6" s="19">
        <v>0.00619047619</v>
      </c>
      <c r="D6" s="19">
        <v>0.01473922902</v>
      </c>
      <c r="E6" s="19">
        <v>0.008597883598</v>
      </c>
      <c r="F6" s="19">
        <v>0.004693988084</v>
      </c>
      <c r="G6" s="19">
        <v>0.006756756757</v>
      </c>
      <c r="H6" s="19">
        <v>0.007626674293</v>
      </c>
      <c r="I6" s="19">
        <v>0.009936406995</v>
      </c>
      <c r="J6" s="19">
        <v>0.009195798669</v>
      </c>
      <c r="K6" s="19">
        <v>0.007112375533</v>
      </c>
      <c r="L6" s="19">
        <v>0.006864006864</v>
      </c>
      <c r="M6" s="5" t="str">
        <f t="shared" si="3"/>
        <v>I= 5 [A]</v>
      </c>
      <c r="N6" s="10">
        <f t="shared" ref="N6:X6" si="7">(2^5)*B6</f>
        <v>0.08465608467</v>
      </c>
      <c r="O6" s="10">
        <f t="shared" si="7"/>
        <v>0.1980952381</v>
      </c>
      <c r="P6" s="10">
        <f t="shared" si="7"/>
        <v>0.4716553286</v>
      </c>
      <c r="Q6" s="10">
        <f t="shared" si="7"/>
        <v>0.2751322751</v>
      </c>
      <c r="R6" s="10">
        <f t="shared" si="7"/>
        <v>0.1502076187</v>
      </c>
      <c r="S6" s="10">
        <f t="shared" si="7"/>
        <v>0.2162162162</v>
      </c>
      <c r="T6" s="10">
        <f t="shared" si="7"/>
        <v>0.2440535774</v>
      </c>
      <c r="U6" s="10">
        <f t="shared" si="7"/>
        <v>0.3179650238</v>
      </c>
      <c r="V6" s="10">
        <f t="shared" si="7"/>
        <v>0.2942655574</v>
      </c>
      <c r="W6" s="10">
        <f t="shared" si="7"/>
        <v>0.2275960171</v>
      </c>
      <c r="X6" s="10">
        <f t="shared" si="7"/>
        <v>0.2196482196</v>
      </c>
    </row>
    <row r="7">
      <c r="A7" s="4" t="s">
        <v>86</v>
      </c>
      <c r="B7" s="19">
        <v>0.003448275862</v>
      </c>
      <c r="C7" s="19">
        <v>0.008405172414</v>
      </c>
      <c r="D7" s="19">
        <v>0.01400862069</v>
      </c>
      <c r="E7" s="19">
        <v>0.008789722786</v>
      </c>
      <c r="F7" s="19">
        <v>0.004788213628</v>
      </c>
      <c r="G7" s="19">
        <v>0.006743940991</v>
      </c>
      <c r="H7" s="19">
        <v>0.007610350076</v>
      </c>
      <c r="I7" s="19">
        <v>0.00991756028</v>
      </c>
      <c r="J7" s="19">
        <v>0.009036408254</v>
      </c>
      <c r="K7" s="19">
        <v>0.007097735822</v>
      </c>
      <c r="L7" s="19">
        <v>0.006821602309</v>
      </c>
      <c r="M7" s="5" t="str">
        <f t="shared" si="3"/>
        <v>I= 6 [A]</v>
      </c>
      <c r="N7" s="10">
        <f t="shared" ref="N7:X7" si="8">(2^5)*B7</f>
        <v>0.1103448276</v>
      </c>
      <c r="O7" s="10">
        <f t="shared" si="8"/>
        <v>0.2689655172</v>
      </c>
      <c r="P7" s="10">
        <f t="shared" si="8"/>
        <v>0.4482758621</v>
      </c>
      <c r="Q7" s="10">
        <f t="shared" si="8"/>
        <v>0.2812711292</v>
      </c>
      <c r="R7" s="10">
        <f t="shared" si="8"/>
        <v>0.1532228361</v>
      </c>
      <c r="S7" s="10">
        <f t="shared" si="8"/>
        <v>0.2158061117</v>
      </c>
      <c r="T7" s="10">
        <f t="shared" si="8"/>
        <v>0.2435312024</v>
      </c>
      <c r="U7" s="10">
        <f t="shared" si="8"/>
        <v>0.317361929</v>
      </c>
      <c r="V7" s="10">
        <f t="shared" si="8"/>
        <v>0.2891650641</v>
      </c>
      <c r="W7" s="10">
        <f t="shared" si="8"/>
        <v>0.2271275463</v>
      </c>
      <c r="X7" s="10">
        <f t="shared" si="8"/>
        <v>0.2182912739</v>
      </c>
    </row>
    <row r="8">
      <c r="A8" s="4" t="s">
        <v>87</v>
      </c>
      <c r="B8" s="19">
        <v>0.004192872117</v>
      </c>
      <c r="C8" s="19">
        <v>0.008458035133</v>
      </c>
      <c r="D8" s="19">
        <v>0.01314016173</v>
      </c>
      <c r="E8" s="19">
        <v>0.009255962976</v>
      </c>
      <c r="F8" s="19">
        <v>0.004904734956</v>
      </c>
      <c r="G8" s="19">
        <v>0.006775067751</v>
      </c>
      <c r="H8" s="19">
        <v>0.007550874014</v>
      </c>
      <c r="I8" s="19">
        <v>0.009865581453</v>
      </c>
      <c r="J8" s="19">
        <v>0.008978675645</v>
      </c>
      <c r="K8" s="19">
        <v>0.0070861678</v>
      </c>
      <c r="L8" s="19">
        <v>0.006750883944</v>
      </c>
      <c r="M8" s="5" t="str">
        <f t="shared" si="3"/>
        <v>I= 7 [A]</v>
      </c>
      <c r="N8" s="10">
        <f t="shared" ref="N8:X8" si="9">(2^5)*B8</f>
        <v>0.1341719077</v>
      </c>
      <c r="O8" s="10">
        <f t="shared" si="9"/>
        <v>0.2706571243</v>
      </c>
      <c r="P8" s="10">
        <f t="shared" si="9"/>
        <v>0.4204851754</v>
      </c>
      <c r="Q8" s="10">
        <f t="shared" si="9"/>
        <v>0.2961908152</v>
      </c>
      <c r="R8" s="10">
        <f t="shared" si="9"/>
        <v>0.1569515186</v>
      </c>
      <c r="S8" s="10">
        <f t="shared" si="9"/>
        <v>0.216802168</v>
      </c>
      <c r="T8" s="10">
        <f t="shared" si="9"/>
        <v>0.2416279684</v>
      </c>
      <c r="U8" s="10">
        <f t="shared" si="9"/>
        <v>0.3156986065</v>
      </c>
      <c r="V8" s="10">
        <f t="shared" si="9"/>
        <v>0.2873176206</v>
      </c>
      <c r="W8" s="10">
        <f t="shared" si="9"/>
        <v>0.2267573696</v>
      </c>
      <c r="X8" s="10">
        <f t="shared" si="9"/>
        <v>0.2160282862</v>
      </c>
    </row>
    <row r="9">
      <c r="A9" s="4" t="s">
        <v>88</v>
      </c>
      <c r="B9" s="19">
        <v>0.004901960784</v>
      </c>
      <c r="C9" s="19">
        <v>0.009027777778</v>
      </c>
      <c r="D9" s="19">
        <v>0.0126953125</v>
      </c>
      <c r="E9" s="19">
        <v>0.009848484848</v>
      </c>
      <c r="F9" s="19">
        <v>0.005078323372</v>
      </c>
      <c r="G9" s="19">
        <v>0.006709270535</v>
      </c>
      <c r="H9" s="19">
        <v>0.007545105584</v>
      </c>
      <c r="I9" s="19">
        <v>0.009764254286</v>
      </c>
      <c r="J9" s="19">
        <v>0.008818954579</v>
      </c>
      <c r="K9" s="19">
        <v>0.00700280112</v>
      </c>
      <c r="L9" s="19">
        <v>0.006679771543</v>
      </c>
      <c r="M9" s="5" t="str">
        <f t="shared" si="3"/>
        <v>I= 8 [A]</v>
      </c>
      <c r="N9" s="10">
        <f t="shared" ref="N9:X9" si="10">(2^5)*B9</f>
        <v>0.1568627451</v>
      </c>
      <c r="O9" s="10">
        <f t="shared" si="10"/>
        <v>0.2888888889</v>
      </c>
      <c r="P9" s="10">
        <f t="shared" si="10"/>
        <v>0.40625</v>
      </c>
      <c r="Q9" s="10">
        <f t="shared" si="10"/>
        <v>0.3151515151</v>
      </c>
      <c r="R9" s="10">
        <f t="shared" si="10"/>
        <v>0.1625063479</v>
      </c>
      <c r="S9" s="10">
        <f t="shared" si="10"/>
        <v>0.2146966571</v>
      </c>
      <c r="T9" s="10">
        <f t="shared" si="10"/>
        <v>0.2414433787</v>
      </c>
      <c r="U9" s="10">
        <f t="shared" si="10"/>
        <v>0.3124561372</v>
      </c>
      <c r="V9" s="10">
        <f t="shared" si="10"/>
        <v>0.2822065465</v>
      </c>
      <c r="W9" s="10">
        <f t="shared" si="10"/>
        <v>0.2240896358</v>
      </c>
      <c r="X9" s="10">
        <f t="shared" si="10"/>
        <v>0.2137526894</v>
      </c>
    </row>
    <row r="10">
      <c r="A10" s="4" t="s">
        <v>89</v>
      </c>
      <c r="B10" s="19">
        <v>0.005681818182</v>
      </c>
      <c r="C10" s="19">
        <v>0.008863636364</v>
      </c>
      <c r="D10" s="19">
        <v>0.01303475936</v>
      </c>
      <c r="E10" s="19">
        <v>0.01036682616</v>
      </c>
      <c r="F10" s="19">
        <v>0.005149534561</v>
      </c>
      <c r="G10" s="19">
        <v>0.006550933508</v>
      </c>
      <c r="H10" s="19">
        <v>0.007364448127</v>
      </c>
      <c r="I10" s="19">
        <v>0.009468576163</v>
      </c>
      <c r="J10" s="19">
        <v>0.008754938332</v>
      </c>
      <c r="K10" s="19">
        <v>0.007149495961</v>
      </c>
      <c r="L10" s="19">
        <v>0.006813366974</v>
      </c>
      <c r="M10" s="5" t="str">
        <f t="shared" si="3"/>
        <v>I= 9 [A]</v>
      </c>
      <c r="N10" s="10">
        <f t="shared" ref="N10:X10" si="11">(2^5)*B10</f>
        <v>0.1818181818</v>
      </c>
      <c r="O10" s="10">
        <f t="shared" si="11"/>
        <v>0.2836363636</v>
      </c>
      <c r="P10" s="10">
        <f t="shared" si="11"/>
        <v>0.4171122995</v>
      </c>
      <c r="Q10" s="10">
        <f t="shared" si="11"/>
        <v>0.3317384371</v>
      </c>
      <c r="R10" s="10">
        <f t="shared" si="11"/>
        <v>0.164785106</v>
      </c>
      <c r="S10" s="10">
        <f t="shared" si="11"/>
        <v>0.2096298723</v>
      </c>
      <c r="T10" s="10">
        <f t="shared" si="11"/>
        <v>0.2356623401</v>
      </c>
      <c r="U10" s="10">
        <f t="shared" si="11"/>
        <v>0.3029944372</v>
      </c>
      <c r="V10" s="10">
        <f t="shared" si="11"/>
        <v>0.2801580266</v>
      </c>
      <c r="W10" s="10">
        <f t="shared" si="11"/>
        <v>0.2287838708</v>
      </c>
      <c r="X10" s="10">
        <f t="shared" si="11"/>
        <v>0.2180277432</v>
      </c>
    </row>
    <row r="11">
      <c r="A11" s="4" t="s">
        <v>90</v>
      </c>
      <c r="B11" s="19">
        <v>0.006666666667</v>
      </c>
      <c r="C11" s="19">
        <v>0.008125</v>
      </c>
      <c r="D11" s="19">
        <v>0.01235521236</v>
      </c>
      <c r="E11" s="19">
        <v>0.00928828515</v>
      </c>
      <c r="F11" s="19">
        <v>0.004830334501</v>
      </c>
      <c r="G11" s="19">
        <v>0.006722689076</v>
      </c>
      <c r="H11" s="19">
        <v>0.007577910391</v>
      </c>
      <c r="I11" s="19">
        <v>0.01006605851</v>
      </c>
      <c r="J11" s="19">
        <v>0.009025474401</v>
      </c>
      <c r="K11" s="19">
        <v>0.0075030012</v>
      </c>
      <c r="L11" s="19">
        <v>0.007469654528</v>
      </c>
      <c r="M11" s="5" t="str">
        <f t="shared" si="3"/>
        <v>I= 10 [A]</v>
      </c>
      <c r="N11" s="10">
        <f t="shared" ref="N11:X11" si="12">(2^5)*B11</f>
        <v>0.2133333333</v>
      </c>
      <c r="O11" s="10">
        <f t="shared" si="12"/>
        <v>0.26</v>
      </c>
      <c r="P11" s="10">
        <f t="shared" si="12"/>
        <v>0.3953667955</v>
      </c>
      <c r="Q11" s="10">
        <f t="shared" si="12"/>
        <v>0.2972251248</v>
      </c>
      <c r="R11" s="10">
        <f t="shared" si="12"/>
        <v>0.154570704</v>
      </c>
      <c r="S11" s="10">
        <f t="shared" si="12"/>
        <v>0.2151260504</v>
      </c>
      <c r="T11" s="10">
        <f t="shared" si="12"/>
        <v>0.2424931325</v>
      </c>
      <c r="U11" s="10">
        <f t="shared" si="12"/>
        <v>0.3221138723</v>
      </c>
      <c r="V11" s="10">
        <f t="shared" si="12"/>
        <v>0.2888151808</v>
      </c>
      <c r="W11" s="10">
        <f t="shared" si="12"/>
        <v>0.2400960384</v>
      </c>
      <c r="X11" s="10">
        <f t="shared" si="12"/>
        <v>0.2390289449</v>
      </c>
    </row>
    <row r="12">
      <c r="A12" s="4" t="s">
        <v>91</v>
      </c>
      <c r="B12" s="19">
        <v>0.006944444444</v>
      </c>
      <c r="C12" s="19">
        <v>0.007738095238</v>
      </c>
      <c r="D12" s="19">
        <v>0.0113960114</v>
      </c>
      <c r="E12" s="19">
        <v>0.009182992849</v>
      </c>
      <c r="F12" s="19">
        <v>0.004823297832</v>
      </c>
      <c r="G12" s="19">
        <v>0.007006480995</v>
      </c>
      <c r="H12" s="19">
        <v>0.007969238738</v>
      </c>
      <c r="I12" s="19">
        <v>0.01018589254</v>
      </c>
      <c r="J12" s="19">
        <v>0.009182736455</v>
      </c>
      <c r="K12" s="19">
        <v>0.008417508418</v>
      </c>
      <c r="L12" s="19">
        <v>0.007893341227</v>
      </c>
      <c r="M12" s="5" t="str">
        <f t="shared" si="3"/>
        <v>I= 11 [A]</v>
      </c>
      <c r="N12" s="10">
        <f t="shared" ref="N12:X12" si="13">(2^5)*B12</f>
        <v>0.2222222222</v>
      </c>
      <c r="O12" s="10">
        <f t="shared" si="13"/>
        <v>0.2476190476</v>
      </c>
      <c r="P12" s="10">
        <f t="shared" si="13"/>
        <v>0.3646723648</v>
      </c>
      <c r="Q12" s="10">
        <f t="shared" si="13"/>
        <v>0.2938557712</v>
      </c>
      <c r="R12" s="10">
        <f t="shared" si="13"/>
        <v>0.1543455306</v>
      </c>
      <c r="S12" s="10">
        <f t="shared" si="13"/>
        <v>0.2242073918</v>
      </c>
      <c r="T12" s="10">
        <f t="shared" si="13"/>
        <v>0.2550156396</v>
      </c>
      <c r="U12" s="10">
        <f t="shared" si="13"/>
        <v>0.3259485613</v>
      </c>
      <c r="V12" s="10">
        <f t="shared" si="13"/>
        <v>0.2938475666</v>
      </c>
      <c r="W12" s="10">
        <f t="shared" si="13"/>
        <v>0.2693602694</v>
      </c>
      <c r="X12" s="10">
        <f t="shared" si="13"/>
        <v>0.2525869193</v>
      </c>
    </row>
    <row r="13">
      <c r="A13" s="4" t="s">
        <v>92</v>
      </c>
      <c r="B13" s="19">
        <v>0.007870916962</v>
      </c>
      <c r="C13" s="19">
        <v>0.01055194805</v>
      </c>
      <c r="D13" s="19">
        <v>0.01120448179</v>
      </c>
      <c r="E13" s="19">
        <v>0.009346974864</v>
      </c>
      <c r="F13" s="19">
        <v>0.004845341924</v>
      </c>
      <c r="G13" s="19">
        <v>0.0078125</v>
      </c>
      <c r="H13" s="19">
        <v>0.008960573477</v>
      </c>
      <c r="I13" s="19">
        <v>0.01089324619</v>
      </c>
      <c r="J13" s="19">
        <v>0.009650646593</v>
      </c>
      <c r="K13" s="19">
        <v>0.009765625</v>
      </c>
      <c r="L13" s="19">
        <v>0.009337068161</v>
      </c>
      <c r="M13" s="5" t="str">
        <f t="shared" si="3"/>
        <v>I= 12 [A]</v>
      </c>
      <c r="N13" s="10">
        <f t="shared" ref="N13:X13" si="14">(2^5)*B13</f>
        <v>0.2518693428</v>
      </c>
      <c r="O13" s="10">
        <f t="shared" si="14"/>
        <v>0.3376623376</v>
      </c>
      <c r="P13" s="10">
        <f t="shared" si="14"/>
        <v>0.3585434173</v>
      </c>
      <c r="Q13" s="10">
        <f t="shared" si="14"/>
        <v>0.2991031956</v>
      </c>
      <c r="R13" s="10">
        <f t="shared" si="14"/>
        <v>0.1550509416</v>
      </c>
      <c r="S13" s="10">
        <f t="shared" si="14"/>
        <v>0.25</v>
      </c>
      <c r="T13" s="10">
        <f t="shared" si="14"/>
        <v>0.2867383513</v>
      </c>
      <c r="U13" s="10">
        <f t="shared" si="14"/>
        <v>0.3485838781</v>
      </c>
      <c r="V13" s="10">
        <f t="shared" si="14"/>
        <v>0.308820691</v>
      </c>
      <c r="W13" s="10">
        <f t="shared" si="14"/>
        <v>0.3125</v>
      </c>
      <c r="X13" s="10">
        <f t="shared" si="14"/>
        <v>0.2987861812</v>
      </c>
    </row>
    <row r="14">
      <c r="A14" s="4" t="s">
        <v>93</v>
      </c>
      <c r="B14" s="19">
        <v>0.009259259259</v>
      </c>
      <c r="C14" s="19">
        <v>0.013</v>
      </c>
      <c r="D14" s="19">
        <v>0.0115942029</v>
      </c>
      <c r="E14" s="19">
        <v>0.009442087467</v>
      </c>
      <c r="F14" s="19">
        <v>0.004921358029</v>
      </c>
      <c r="G14" s="19">
        <v>0.009523809524</v>
      </c>
      <c r="H14" s="19">
        <v>0.01061740192</v>
      </c>
      <c r="I14" s="19">
        <v>0.01292824822</v>
      </c>
      <c r="J14" s="19">
        <v>0.01154401154</v>
      </c>
      <c r="K14" s="19">
        <v>0.0119047619</v>
      </c>
      <c r="L14" s="19">
        <v>0.01170360617</v>
      </c>
      <c r="M14" s="5" t="str">
        <f t="shared" si="3"/>
        <v>I= 13 [A]</v>
      </c>
      <c r="N14" s="10">
        <f t="shared" ref="N14:X14" si="15">(2^5)*B14</f>
        <v>0.2962962963</v>
      </c>
      <c r="O14" s="10">
        <f t="shared" si="15"/>
        <v>0.416</v>
      </c>
      <c r="P14" s="10">
        <f t="shared" si="15"/>
        <v>0.3710144928</v>
      </c>
      <c r="Q14" s="10">
        <f t="shared" si="15"/>
        <v>0.3021467989</v>
      </c>
      <c r="R14" s="10">
        <f t="shared" si="15"/>
        <v>0.1574834569</v>
      </c>
      <c r="S14" s="10">
        <f t="shared" si="15"/>
        <v>0.3047619048</v>
      </c>
      <c r="T14" s="10">
        <f t="shared" si="15"/>
        <v>0.3397568614</v>
      </c>
      <c r="U14" s="10">
        <f t="shared" si="15"/>
        <v>0.413703943</v>
      </c>
      <c r="V14" s="10">
        <f t="shared" si="15"/>
        <v>0.3694083693</v>
      </c>
      <c r="W14" s="10">
        <f t="shared" si="15"/>
        <v>0.3809523808</v>
      </c>
      <c r="X14" s="10">
        <f t="shared" si="15"/>
        <v>0.3745153974</v>
      </c>
    </row>
    <row r="15">
      <c r="A15" s="4" t="s">
        <v>94</v>
      </c>
      <c r="B15" s="19">
        <v>0.009784735812</v>
      </c>
      <c r="C15" s="19">
        <v>0.01406926407</v>
      </c>
      <c r="D15" s="19">
        <v>0.01206636501</v>
      </c>
      <c r="E15" s="19">
        <v>0.009762693976</v>
      </c>
      <c r="F15" s="19">
        <v>0.00503371398</v>
      </c>
      <c r="G15" s="19">
        <v>0.0119047619</v>
      </c>
      <c r="H15" s="19">
        <v>0.01313370108</v>
      </c>
      <c r="I15" s="19">
        <v>0.01556178027</v>
      </c>
      <c r="J15" s="19">
        <v>0.01443001443</v>
      </c>
      <c r="K15" s="19">
        <v>0.01488095238</v>
      </c>
      <c r="L15" s="19">
        <v>0.01439729331</v>
      </c>
      <c r="M15" s="5" t="str">
        <f t="shared" si="3"/>
        <v>I= 14 [A]</v>
      </c>
      <c r="N15" s="10">
        <f t="shared" ref="N15:X15" si="16">(2^5)*B15</f>
        <v>0.313111546</v>
      </c>
      <c r="O15" s="10">
        <f t="shared" si="16"/>
        <v>0.4502164502</v>
      </c>
      <c r="P15" s="10">
        <f t="shared" si="16"/>
        <v>0.3861236803</v>
      </c>
      <c r="Q15" s="10">
        <f t="shared" si="16"/>
        <v>0.3124062072</v>
      </c>
      <c r="R15" s="10">
        <f t="shared" si="16"/>
        <v>0.1610788474</v>
      </c>
      <c r="S15" s="10">
        <f t="shared" si="16"/>
        <v>0.3809523808</v>
      </c>
      <c r="T15" s="10">
        <f t="shared" si="16"/>
        <v>0.4202784346</v>
      </c>
      <c r="U15" s="10">
        <f t="shared" si="16"/>
        <v>0.4979769686</v>
      </c>
      <c r="V15" s="10">
        <f t="shared" si="16"/>
        <v>0.4617604618</v>
      </c>
      <c r="W15" s="10">
        <f t="shared" si="16"/>
        <v>0.4761904762</v>
      </c>
      <c r="X15" s="10">
        <f t="shared" si="16"/>
        <v>0.4607133859</v>
      </c>
    </row>
    <row r="16">
      <c r="A16" s="4" t="s">
        <v>95</v>
      </c>
      <c r="B16" s="19">
        <v>0.00987654321</v>
      </c>
      <c r="C16" s="19">
        <v>0.01520467836</v>
      </c>
      <c r="D16" s="19">
        <v>0.01179071481</v>
      </c>
      <c r="E16" s="19">
        <v>0.007714561234</v>
      </c>
      <c r="F16" s="19">
        <v>0.00583090379</v>
      </c>
      <c r="G16" s="19">
        <v>0.006510416667</v>
      </c>
      <c r="H16" s="19">
        <v>0.008417508418</v>
      </c>
      <c r="I16" s="19">
        <v>0.007906388362</v>
      </c>
      <c r="J16" s="19">
        <v>0.00777000777</v>
      </c>
      <c r="K16" s="19">
        <v>0.007716049383</v>
      </c>
      <c r="L16" s="19">
        <v>0.007558578987</v>
      </c>
      <c r="M16" s="5" t="str">
        <f t="shared" si="3"/>
        <v>I= 15 [A]</v>
      </c>
      <c r="N16" s="10">
        <f t="shared" ref="N16:X16" si="17">(2^5)*B16</f>
        <v>0.3160493827</v>
      </c>
      <c r="O16" s="10">
        <f t="shared" si="17"/>
        <v>0.4865497075</v>
      </c>
      <c r="P16" s="10">
        <f t="shared" si="17"/>
        <v>0.3773028739</v>
      </c>
      <c r="Q16" s="10">
        <f t="shared" si="17"/>
        <v>0.2468659595</v>
      </c>
      <c r="R16" s="10">
        <f t="shared" si="17"/>
        <v>0.1865889213</v>
      </c>
      <c r="S16" s="10">
        <f t="shared" si="17"/>
        <v>0.2083333333</v>
      </c>
      <c r="T16" s="10">
        <f t="shared" si="17"/>
        <v>0.2693602694</v>
      </c>
      <c r="U16" s="10">
        <f t="shared" si="17"/>
        <v>0.2530044276</v>
      </c>
      <c r="V16" s="10">
        <f t="shared" si="17"/>
        <v>0.2486402486</v>
      </c>
      <c r="W16" s="10">
        <f t="shared" si="17"/>
        <v>0.2469135803</v>
      </c>
      <c r="X16" s="10">
        <f t="shared" si="17"/>
        <v>0.2418745276</v>
      </c>
    </row>
    <row r="17">
      <c r="A17" s="4" t="s">
        <v>100</v>
      </c>
      <c r="B17" s="19">
        <v>0.009411764706</v>
      </c>
      <c r="C17" s="19">
        <v>0.01733333333</v>
      </c>
      <c r="D17" s="19">
        <v>0.01333333333</v>
      </c>
      <c r="E17" s="19">
        <v>0.006944444444</v>
      </c>
      <c r="F17" s="19">
        <v>0.006349206349</v>
      </c>
      <c r="G17" s="19">
        <v>0.008695652174</v>
      </c>
      <c r="H17" s="19">
        <v>0.0101010101</v>
      </c>
      <c r="I17" s="19">
        <v>0.009803921569</v>
      </c>
      <c r="J17" s="19">
        <v>0.009775171065</v>
      </c>
      <c r="K17" s="19">
        <v>0.01136234519</v>
      </c>
      <c r="L17" s="19">
        <v>0.01128747795</v>
      </c>
      <c r="M17" s="5" t="str">
        <f t="shared" si="3"/>
        <v>I= 16 [A]</v>
      </c>
      <c r="N17" s="10">
        <f t="shared" ref="N17:X17" si="18">(2^5)*B17</f>
        <v>0.3011764706</v>
      </c>
      <c r="O17" s="10">
        <f t="shared" si="18"/>
        <v>0.5546666666</v>
      </c>
      <c r="P17" s="10">
        <f t="shared" si="18"/>
        <v>0.4266666666</v>
      </c>
      <c r="Q17" s="10">
        <f t="shared" si="18"/>
        <v>0.2222222222</v>
      </c>
      <c r="R17" s="10">
        <f t="shared" si="18"/>
        <v>0.2031746032</v>
      </c>
      <c r="S17" s="10">
        <f t="shared" si="18"/>
        <v>0.2782608696</v>
      </c>
      <c r="T17" s="10">
        <f t="shared" si="18"/>
        <v>0.3232323232</v>
      </c>
      <c r="U17" s="10">
        <f t="shared" si="18"/>
        <v>0.3137254902</v>
      </c>
      <c r="V17" s="10">
        <f t="shared" si="18"/>
        <v>0.3128054741</v>
      </c>
      <c r="W17" s="10">
        <f t="shared" si="18"/>
        <v>0.3635950461</v>
      </c>
      <c r="X17" s="10">
        <f t="shared" si="18"/>
        <v>0.3611992944</v>
      </c>
    </row>
    <row r="21">
      <c r="N21" s="25"/>
      <c r="Q21" s="25"/>
    </row>
    <row r="22">
      <c r="N22" s="25"/>
      <c r="Q22" s="25"/>
    </row>
    <row r="23">
      <c r="N23" s="25"/>
      <c r="Q23" s="25"/>
    </row>
    <row r="24">
      <c r="A24" s="1"/>
      <c r="B24" s="23" t="str">
        <f t="shared" ref="B24:L24" si="19">"SOC = "&amp;10*(COLUMN()-2)&amp;" [%]"</f>
        <v>SOC = 0 [%]</v>
      </c>
      <c r="C24" s="23" t="str">
        <f t="shared" si="19"/>
        <v>SOC = 10 [%]</v>
      </c>
      <c r="D24" s="23" t="str">
        <f t="shared" si="19"/>
        <v>SOC = 20 [%]</v>
      </c>
      <c r="E24" s="23" t="str">
        <f t="shared" si="19"/>
        <v>SOC = 30 [%]</v>
      </c>
      <c r="F24" s="23" t="str">
        <f t="shared" si="19"/>
        <v>SOC = 40 [%]</v>
      </c>
      <c r="G24" s="23" t="str">
        <f t="shared" si="19"/>
        <v>SOC = 50 [%]</v>
      </c>
      <c r="H24" s="23" t="str">
        <f t="shared" si="19"/>
        <v>SOC = 60 [%]</v>
      </c>
      <c r="I24" s="23" t="str">
        <f t="shared" si="19"/>
        <v>SOC = 70 [%]</v>
      </c>
      <c r="J24" s="23" t="str">
        <f t="shared" si="19"/>
        <v>SOC = 80 [%]</v>
      </c>
      <c r="K24" s="23" t="str">
        <f t="shared" si="19"/>
        <v>SOC = 90 [%]</v>
      </c>
      <c r="L24" s="23" t="str">
        <f t="shared" si="19"/>
        <v>SOC = 100 [%]</v>
      </c>
      <c r="N24" s="23" t="str">
        <f t="shared" ref="N24:X24" si="20">"SOC = "&amp;10*(COLUMN()-14)&amp;" [%]"</f>
        <v>SOC = 0 [%]</v>
      </c>
      <c r="O24" s="23" t="str">
        <f t="shared" si="20"/>
        <v>SOC = 10 [%]</v>
      </c>
      <c r="P24" s="23" t="str">
        <f t="shared" si="20"/>
        <v>SOC = 20 [%]</v>
      </c>
      <c r="Q24" s="23" t="str">
        <f t="shared" si="20"/>
        <v>SOC = 30 [%]</v>
      </c>
      <c r="R24" s="23" t="str">
        <f t="shared" si="20"/>
        <v>SOC = 40 [%]</v>
      </c>
      <c r="S24" s="23" t="str">
        <f t="shared" si="20"/>
        <v>SOC = 50 [%]</v>
      </c>
      <c r="T24" s="23" t="str">
        <f t="shared" si="20"/>
        <v>SOC = 60 [%]</v>
      </c>
      <c r="U24" s="23" t="str">
        <f t="shared" si="20"/>
        <v>SOC = 70 [%]</v>
      </c>
      <c r="V24" s="23" t="str">
        <f t="shared" si="20"/>
        <v>SOC = 80 [%]</v>
      </c>
      <c r="W24" s="23" t="str">
        <f t="shared" si="20"/>
        <v>SOC = 90 [%]</v>
      </c>
      <c r="X24" s="23" t="str">
        <f t="shared" si="20"/>
        <v>SOC = 100 [%]</v>
      </c>
    </row>
    <row r="25">
      <c r="A25" s="6" t="str">
        <f t="shared" ref="A25:A40" si="22">"I= "&amp;1*(row()-24)&amp;" [A]"</f>
        <v>I= 1 [A]</v>
      </c>
      <c r="B25" s="9">
        <v>1.10011101101E12</v>
      </c>
      <c r="C25" s="9">
        <v>1.0100011110101E13</v>
      </c>
      <c r="D25" s="9">
        <v>1.01000111101011E14</v>
      </c>
      <c r="E25" s="9">
        <v>1.01000011101E14</v>
      </c>
      <c r="F25" s="9">
        <v>1.10001110101E14</v>
      </c>
      <c r="G25" s="9">
        <v>1.101001101101E14</v>
      </c>
      <c r="H25" s="9">
        <v>1.11000111000111E14</v>
      </c>
      <c r="I25" s="9">
        <v>1.10101100010101E14</v>
      </c>
      <c r="J25" s="9">
        <v>1.100011010011E14</v>
      </c>
      <c r="K25" s="9">
        <v>1.01110100010111E14</v>
      </c>
      <c r="L25" s="9">
        <v>1.00101001001101E14</v>
      </c>
      <c r="M25" s="6" t="str">
        <f t="shared" ref="M25:M40" si="23">"I= "&amp;1*(row()-24)&amp;" [A]"</f>
        <v>I= 1 [A]</v>
      </c>
      <c r="N25" s="26" t="str">
        <f t="shared" ref="N25:X25" si="21">IF(N2-ROUNDDOWN(N2,0)&gt;=0.5,"1","0")&amp;IF(MOD(N2-ROUNDDOWN(N2,0),0.5)&gt;=0.25,"1","0")&amp;IF(MOD(MOD(N2-ROUNDDOWN(N2,0),0.5),0.25)&gt;=0.125,"1","0")&amp;IF(MOD(MOD(MOD(N2-ROUNDDOWN(N2,0),0.5),0.25),0.125)&gt;=0.0625,"1","0")&amp;IF(MOD(MOD(MOD(MOD(N2-ROUNDDOWN(N2,0),0.5),0.25),0.125),0.0625)&gt;=0.03125,"1","0")&amp;IF(MOD(MOD(MOD(MOD(MOD(N2-ROUNDDOWN(N2,0),0.5),0.25),0.125),0.0625),0.03125)&gt;=0.015625,"1","0")&amp;IF(MOD(MOD(MOD(MOD(MOD(MOD(N2-ROUNDDOWN(N2,0),0.5),0.25),0.125),0.0625),0.03125),0.015625)&gt;=0.0078125,"1","0")&amp;IF(MOD(MOD(MOD(MOD(MOD(MOD(MOD(N2-ROUNDDOWN(N2,0),0.5),0.25),0.125),0.0625),0.03125),0.015625),0.0078125)&gt;=0.00390625,"1","0")&amp;IF(MOD(MOD(MOD(MOD(MOD(MOD(MOD(MOD(N2-ROUNDDOWN(N2,0),0.5),0.25),0.125),0.0625),0.03125),0.015625),0.0078125),0.00390625)&gt;=0.001953125,"1","0")&amp;IF(MOD(MOD(MOD(MOD(MOD(MOD(MOD(MOD(MOD(N2-ROUNDDOWN(N2,0),0.5),0.25),0.125),0.0625),0.03125),0.015625),0.0078125),0.00390625),0.001953125)&gt;=0.0009765625,"1","0")&amp;IF(MOD(MOD(MOD(MOD(MOD(MOD(MOD(MOD(MOD(MOD(N2-ROUNDDOWN(N2,0),0.5),0.25),0.125),0.0625),0.03125),0.015625),0.0078125),0.00390625),0.001953125),0.0009765625)&gt;=0.00048828125,"1","0")&amp;IF(MOD(MOD(MOD(MOD(MOD(MOD(MOD(MOD(MOD(MOD(MOD(N2-ROUNDDOWN(N2,0),0.5),0.25),0.125),0.0625),0.03125),0.015625),0.0078125),0.00390625),0.001953125),0.0009765625),0.00048828125)&gt;=0.000244140625,"1","0")&amp;IF(MOD(MOD(MOD(MOD(MOD(MOD(MOD(MOD(MOD(MOD(MOD(MOD(N2-ROUNDDOWN(N2,0),0.5),0.25),0.125),0.0625),0.03125),0.015625),0.0078125),0.00390625),0.001953125),0.0009765625),0.00048828125),0.000244140625)&gt;=0.0001220703125,"1","0")&amp;IF(MOD(MOD(MOD(MOD(MOD(MOD(MOD(MOD(MOD(MOD(MOD(MOD(MOD(N2-ROUNDDOWN(N2,0),0.5),0.25),0.125),0.0625),0.03125),0.015625),0.0078125),0.00390625),0.001953125),0.0009765625),0.00048828125),0.000244140625),0.0001220703125)&gt;=0.00006103515625,"1","0")&amp;IF(MOD(MOD(MOD(MOD(MOD(MOD(MOD(MOD(MOD(MOD(MOD(MOD(MOD(MOD(N2-ROUNDDOWN(N2,0),0.5),0.25),0.125),0.0625),0.03125),0.015625),0.0078125),0.00390625),0.001953125),0.0009765625),0.00048828125),0.000244140625),0.0001220703125),0.00006103515625)&gt;=0.000030517578125,"1","0")&amp;IF(MOD(MOD(MOD(MOD(MOD(MOD(MOD(MOD(MOD(MOD(MOD(MOD(MOD(MOD(MOD(N2-ROUNDDOWN(N2,0),0.5),0.25),0.125),0.0625),0.03125),0.015625),0.0078125),0.00390625),0.001953125),0.0009765625),0.00048828125),0.000244140625),0.0001220703125),0.00006103515625),0.000030517578125)&gt;=0.0000152587890625,"1","0")</f>
        <v>0001100111011010</v>
      </c>
      <c r="O25" s="26" t="str">
        <f t="shared" si="21"/>
        <v>0010100011110101</v>
      </c>
      <c r="P25" s="26" t="str">
        <f t="shared" si="21"/>
        <v>0101000111101011</v>
      </c>
      <c r="Q25" s="26" t="str">
        <f t="shared" si="21"/>
        <v>0101000011101000</v>
      </c>
      <c r="R25" s="26" t="str">
        <f t="shared" si="21"/>
        <v>0110001110101000</v>
      </c>
      <c r="S25" s="26" t="str">
        <f t="shared" si="21"/>
        <v>0110100110110100</v>
      </c>
      <c r="T25" s="26" t="str">
        <f t="shared" si="21"/>
        <v>0111000111000111</v>
      </c>
      <c r="U25" s="26" t="str">
        <f t="shared" si="21"/>
        <v>0110101100010101</v>
      </c>
      <c r="V25" s="26" t="str">
        <f t="shared" si="21"/>
        <v>0110001101001100</v>
      </c>
      <c r="W25" s="26" t="str">
        <f t="shared" si="21"/>
        <v>0101110100010111</v>
      </c>
      <c r="X25" s="26" t="str">
        <f t="shared" si="21"/>
        <v>0100101001001101</v>
      </c>
    </row>
    <row r="26">
      <c r="A26" s="6" t="str">
        <f t="shared" si="22"/>
        <v>I= 2 [A]</v>
      </c>
      <c r="B26" s="9">
        <v>1.11010111011E12</v>
      </c>
      <c r="C26" s="9">
        <v>1.001100111111E13</v>
      </c>
      <c r="D26" s="9">
        <v>1.001100111111E14</v>
      </c>
      <c r="E26" s="9">
        <v>1.00110111000011E14</v>
      </c>
      <c r="F26" s="9">
        <v>1.111100010101E13</v>
      </c>
      <c r="G26" s="9">
        <v>1.111000111001E13</v>
      </c>
      <c r="H26" s="9">
        <v>1.0010000101111E14</v>
      </c>
      <c r="I26" s="9">
        <v>1.01001001011111E14</v>
      </c>
      <c r="J26" s="9">
        <v>1.001100110111E14</v>
      </c>
      <c r="K26" s="9">
        <v>1.11001100011E13</v>
      </c>
      <c r="L26" s="9">
        <v>1.1100011100111E13</v>
      </c>
      <c r="M26" s="6" t="str">
        <f t="shared" si="23"/>
        <v>I= 2 [A]</v>
      </c>
      <c r="N26" s="26" t="str">
        <f t="shared" ref="N26:X26" si="24">IF(N3-ROUNDDOWN(N3,0)&gt;=0.5,"1","0")&amp;IF(MOD(N3-ROUNDDOWN(N3,0),0.5)&gt;=0.25,"1","0")&amp;IF(MOD(MOD(N3-ROUNDDOWN(N3,0),0.5),0.25)&gt;=0.125,"1","0")&amp;IF(MOD(MOD(MOD(N3-ROUNDDOWN(N3,0),0.5),0.25),0.125)&gt;=0.0625,"1","0")&amp;IF(MOD(MOD(MOD(MOD(N3-ROUNDDOWN(N3,0),0.5),0.25),0.125),0.0625)&gt;=0.03125,"1","0")&amp;IF(MOD(MOD(MOD(MOD(MOD(N3-ROUNDDOWN(N3,0),0.5),0.25),0.125),0.0625),0.03125)&gt;=0.015625,"1","0")&amp;IF(MOD(MOD(MOD(MOD(MOD(MOD(N3-ROUNDDOWN(N3,0),0.5),0.25),0.125),0.0625),0.03125),0.015625)&gt;=0.0078125,"1","0")&amp;IF(MOD(MOD(MOD(MOD(MOD(MOD(MOD(N3-ROUNDDOWN(N3,0),0.5),0.25),0.125),0.0625),0.03125),0.015625),0.0078125)&gt;=0.00390625,"1","0")&amp;IF(MOD(MOD(MOD(MOD(MOD(MOD(MOD(MOD(N3-ROUNDDOWN(N3,0),0.5),0.25),0.125),0.0625),0.03125),0.015625),0.0078125),0.00390625)&gt;=0.001953125,"1","0")&amp;IF(MOD(MOD(MOD(MOD(MOD(MOD(MOD(MOD(MOD(N3-ROUNDDOWN(N3,0),0.5),0.25),0.125),0.0625),0.03125),0.015625),0.0078125),0.00390625),0.001953125)&gt;=0.0009765625,"1","0")&amp;IF(MOD(MOD(MOD(MOD(MOD(MOD(MOD(MOD(MOD(MOD(N3-ROUNDDOWN(N3,0),0.5),0.25),0.125),0.0625),0.03125),0.015625),0.0078125),0.00390625),0.001953125),0.0009765625)&gt;=0.00048828125,"1","0")&amp;IF(MOD(MOD(MOD(MOD(MOD(MOD(MOD(MOD(MOD(MOD(MOD(N3-ROUNDDOWN(N3,0),0.5),0.25),0.125),0.0625),0.03125),0.015625),0.0078125),0.00390625),0.001953125),0.0009765625),0.00048828125)&gt;=0.000244140625,"1","0")&amp;IF(MOD(MOD(MOD(MOD(MOD(MOD(MOD(MOD(MOD(MOD(MOD(MOD(N3-ROUNDDOWN(N3,0),0.5),0.25),0.125),0.0625),0.03125),0.015625),0.0078125),0.00390625),0.001953125),0.0009765625),0.00048828125),0.000244140625)&gt;=0.0001220703125,"1","0")&amp;IF(MOD(MOD(MOD(MOD(MOD(MOD(MOD(MOD(MOD(MOD(MOD(MOD(MOD(N3-ROUNDDOWN(N3,0),0.5),0.25),0.125),0.0625),0.03125),0.015625),0.0078125),0.00390625),0.001953125),0.0009765625),0.00048828125),0.000244140625),0.0001220703125)&gt;=0.00006103515625,"1","0")&amp;IF(MOD(MOD(MOD(MOD(MOD(MOD(MOD(MOD(MOD(MOD(MOD(MOD(MOD(MOD(N3-ROUNDDOWN(N3,0),0.5),0.25),0.125),0.0625),0.03125),0.015625),0.0078125),0.00390625),0.001953125),0.0009765625),0.00048828125),0.000244140625),0.0001220703125),0.00006103515625)&gt;=0.000030517578125,"1","0")&amp;IF(MOD(MOD(MOD(MOD(MOD(MOD(MOD(MOD(MOD(MOD(MOD(MOD(MOD(MOD(MOD(N3-ROUNDDOWN(N3,0),0.5),0.25),0.125),0.0625),0.03125),0.015625),0.0078125),0.00390625),0.001953125),0.0009765625),0.00048828125),0.000244140625),0.0001220703125),0.00006103515625),0.000030517578125)&gt;=0.0000152587890625,"1","0")</f>
        <v>0001110101110110</v>
      </c>
      <c r="O26" s="26" t="str">
        <f t="shared" si="24"/>
        <v>0010011001111110</v>
      </c>
      <c r="P26" s="26" t="str">
        <f t="shared" si="24"/>
        <v>0100110011111100</v>
      </c>
      <c r="Q26" s="26" t="str">
        <f t="shared" si="24"/>
        <v>0100110111000011</v>
      </c>
      <c r="R26" s="26" t="str">
        <f t="shared" si="24"/>
        <v>0011111000101010</v>
      </c>
      <c r="S26" s="26" t="str">
        <f t="shared" si="24"/>
        <v>0011110001110010</v>
      </c>
      <c r="T26" s="26" t="str">
        <f t="shared" si="24"/>
        <v>0100100001011110</v>
      </c>
      <c r="U26" s="26" t="str">
        <f t="shared" si="24"/>
        <v>0101001001011111</v>
      </c>
      <c r="V26" s="26" t="str">
        <f t="shared" si="24"/>
        <v>0100110011011100</v>
      </c>
      <c r="W26" s="26" t="str">
        <f t="shared" si="24"/>
        <v>0011100110001100</v>
      </c>
      <c r="X26" s="26" t="str">
        <f t="shared" si="24"/>
        <v>0011100011100111</v>
      </c>
    </row>
    <row r="27">
      <c r="A27" s="6" t="str">
        <f t="shared" si="22"/>
        <v>I= 3 [A]</v>
      </c>
      <c r="B27" s="9">
        <v>1.1110110011E12</v>
      </c>
      <c r="C27" s="9">
        <v>1.0001100001E13</v>
      </c>
      <c r="D27" s="9">
        <v>1.01000011010111E14</v>
      </c>
      <c r="E27" s="9">
        <v>1.010111100101E14</v>
      </c>
      <c r="F27" s="9">
        <v>1.001000101101E13</v>
      </c>
      <c r="G27" s="9">
        <v>1.11001011111E13</v>
      </c>
      <c r="H27" s="9">
        <v>1.000011E14</v>
      </c>
      <c r="I27" s="9">
        <v>1.0100100111101E14</v>
      </c>
      <c r="J27" s="9">
        <v>1.001100000001E14</v>
      </c>
      <c r="K27" s="9">
        <v>1.1101001000011E13</v>
      </c>
      <c r="L27" s="9">
        <v>1.1100000100111E13</v>
      </c>
      <c r="M27" s="6" t="str">
        <f t="shared" si="23"/>
        <v>I= 3 [A]</v>
      </c>
      <c r="N27" s="26" t="str">
        <f t="shared" ref="N27:X27" si="25">IF(N4-ROUNDDOWN(N4,0)&gt;=0.5,"1","0")&amp;IF(MOD(N4-ROUNDDOWN(N4,0),0.5)&gt;=0.25,"1","0")&amp;IF(MOD(MOD(N4-ROUNDDOWN(N4,0),0.5),0.25)&gt;=0.125,"1","0")&amp;IF(MOD(MOD(MOD(N4-ROUNDDOWN(N4,0),0.5),0.25),0.125)&gt;=0.0625,"1","0")&amp;IF(MOD(MOD(MOD(MOD(N4-ROUNDDOWN(N4,0),0.5),0.25),0.125),0.0625)&gt;=0.03125,"1","0")&amp;IF(MOD(MOD(MOD(MOD(MOD(N4-ROUNDDOWN(N4,0),0.5),0.25),0.125),0.0625),0.03125)&gt;=0.015625,"1","0")&amp;IF(MOD(MOD(MOD(MOD(MOD(MOD(N4-ROUNDDOWN(N4,0),0.5),0.25),0.125),0.0625),0.03125),0.015625)&gt;=0.0078125,"1","0")&amp;IF(MOD(MOD(MOD(MOD(MOD(MOD(MOD(N4-ROUNDDOWN(N4,0),0.5),0.25),0.125),0.0625),0.03125),0.015625),0.0078125)&gt;=0.00390625,"1","0")&amp;IF(MOD(MOD(MOD(MOD(MOD(MOD(MOD(MOD(N4-ROUNDDOWN(N4,0),0.5),0.25),0.125),0.0625),0.03125),0.015625),0.0078125),0.00390625)&gt;=0.001953125,"1","0")&amp;IF(MOD(MOD(MOD(MOD(MOD(MOD(MOD(MOD(MOD(N4-ROUNDDOWN(N4,0),0.5),0.25),0.125),0.0625),0.03125),0.015625),0.0078125),0.00390625),0.001953125)&gt;=0.0009765625,"1","0")&amp;IF(MOD(MOD(MOD(MOD(MOD(MOD(MOD(MOD(MOD(MOD(N4-ROUNDDOWN(N4,0),0.5),0.25),0.125),0.0625),0.03125),0.015625),0.0078125),0.00390625),0.001953125),0.0009765625)&gt;=0.00048828125,"1","0")&amp;IF(MOD(MOD(MOD(MOD(MOD(MOD(MOD(MOD(MOD(MOD(MOD(N4-ROUNDDOWN(N4,0),0.5),0.25),0.125),0.0625),0.03125),0.015625),0.0078125),0.00390625),0.001953125),0.0009765625),0.00048828125)&gt;=0.000244140625,"1","0")&amp;IF(MOD(MOD(MOD(MOD(MOD(MOD(MOD(MOD(MOD(MOD(MOD(MOD(N4-ROUNDDOWN(N4,0),0.5),0.25),0.125),0.0625),0.03125),0.015625),0.0078125),0.00390625),0.001953125),0.0009765625),0.00048828125),0.000244140625)&gt;=0.0001220703125,"1","0")&amp;IF(MOD(MOD(MOD(MOD(MOD(MOD(MOD(MOD(MOD(MOD(MOD(MOD(MOD(N4-ROUNDDOWN(N4,0),0.5),0.25),0.125),0.0625),0.03125),0.015625),0.0078125),0.00390625),0.001953125),0.0009765625),0.00048828125),0.000244140625),0.0001220703125)&gt;=0.00006103515625,"1","0")&amp;IF(MOD(MOD(MOD(MOD(MOD(MOD(MOD(MOD(MOD(MOD(MOD(MOD(MOD(MOD(N4-ROUNDDOWN(N4,0),0.5),0.25),0.125),0.0625),0.03125),0.015625),0.0078125),0.00390625),0.001953125),0.0009765625),0.00048828125),0.000244140625),0.0001220703125),0.00006103515625)&gt;=0.000030517578125,"1","0")&amp;IF(MOD(MOD(MOD(MOD(MOD(MOD(MOD(MOD(MOD(MOD(MOD(MOD(MOD(MOD(MOD(N4-ROUNDDOWN(N4,0),0.5),0.25),0.125),0.0625),0.03125),0.015625),0.0078125),0.00390625),0.001953125),0.0009765625),0.00048828125),0.000244140625),0.0001220703125),0.00006103515625),0.000030517578125)&gt;=0.0000152587890625,"1","0")</f>
        <v>0001111011001100</v>
      </c>
      <c r="O27" s="26" t="str">
        <f t="shared" si="25"/>
        <v>0010001100001000</v>
      </c>
      <c r="P27" s="26" t="str">
        <f t="shared" si="25"/>
        <v>0101000011010111</v>
      </c>
      <c r="Q27" s="26" t="str">
        <f t="shared" si="25"/>
        <v>0101011110010100</v>
      </c>
      <c r="R27" s="26" t="str">
        <f t="shared" si="25"/>
        <v>0010010001011010</v>
      </c>
      <c r="S27" s="26" t="str">
        <f t="shared" si="25"/>
        <v>0011100101111100</v>
      </c>
      <c r="T27" s="26" t="str">
        <f t="shared" si="25"/>
        <v>0100001100000000</v>
      </c>
      <c r="U27" s="26" t="str">
        <f t="shared" si="25"/>
        <v>0101001001111010</v>
      </c>
      <c r="V27" s="26" t="str">
        <f t="shared" si="25"/>
        <v>0100110000000100</v>
      </c>
      <c r="W27" s="26" t="str">
        <f t="shared" si="25"/>
        <v>0011101001000011</v>
      </c>
      <c r="X27" s="26" t="str">
        <f t="shared" si="25"/>
        <v>0011100000100111</v>
      </c>
    </row>
    <row r="28">
      <c r="A28" s="6" t="str">
        <f t="shared" si="22"/>
        <v>I= 4 [A]</v>
      </c>
      <c r="B28" s="9">
        <v>1.01111011111E12</v>
      </c>
      <c r="C28" s="9">
        <v>1.0101000010111E13</v>
      </c>
      <c r="D28" s="9">
        <v>1.1000000111011E14</v>
      </c>
      <c r="E28" s="9">
        <v>1.00100101111111E14</v>
      </c>
      <c r="F28" s="9">
        <v>1.0010101111E13</v>
      </c>
      <c r="G28" s="9">
        <v>1.1100000111001E13</v>
      </c>
      <c r="H28" s="9">
        <v>1.11110111E13</v>
      </c>
      <c r="I28" s="9">
        <v>1.01001000000101E14</v>
      </c>
      <c r="J28" s="9">
        <v>1.001011011101E14</v>
      </c>
      <c r="K28" s="9">
        <v>1.1101000011001E13</v>
      </c>
      <c r="L28" s="9">
        <v>1.10111111001E13</v>
      </c>
      <c r="M28" s="6" t="str">
        <f t="shared" si="23"/>
        <v>I= 4 [A]</v>
      </c>
      <c r="N28" s="26" t="str">
        <f t="shared" ref="N28:X28" si="26">IF(N5-ROUNDDOWN(N5,0)&gt;=0.5,"1","0")&amp;IF(MOD(N5-ROUNDDOWN(N5,0),0.5)&gt;=0.25,"1","0")&amp;IF(MOD(MOD(N5-ROUNDDOWN(N5,0),0.5),0.25)&gt;=0.125,"1","0")&amp;IF(MOD(MOD(MOD(N5-ROUNDDOWN(N5,0),0.5),0.25),0.125)&gt;=0.0625,"1","0")&amp;IF(MOD(MOD(MOD(MOD(N5-ROUNDDOWN(N5,0),0.5),0.25),0.125),0.0625)&gt;=0.03125,"1","0")&amp;IF(MOD(MOD(MOD(MOD(MOD(N5-ROUNDDOWN(N5,0),0.5),0.25),0.125),0.0625),0.03125)&gt;=0.015625,"1","0")&amp;IF(MOD(MOD(MOD(MOD(MOD(MOD(N5-ROUNDDOWN(N5,0),0.5),0.25),0.125),0.0625),0.03125),0.015625)&gt;=0.0078125,"1","0")&amp;IF(MOD(MOD(MOD(MOD(MOD(MOD(MOD(N5-ROUNDDOWN(N5,0),0.5),0.25),0.125),0.0625),0.03125),0.015625),0.0078125)&gt;=0.00390625,"1","0")&amp;IF(MOD(MOD(MOD(MOD(MOD(MOD(MOD(MOD(N5-ROUNDDOWN(N5,0),0.5),0.25),0.125),0.0625),0.03125),0.015625),0.0078125),0.00390625)&gt;=0.001953125,"1","0")&amp;IF(MOD(MOD(MOD(MOD(MOD(MOD(MOD(MOD(MOD(N5-ROUNDDOWN(N5,0),0.5),0.25),0.125),0.0625),0.03125),0.015625),0.0078125),0.00390625),0.001953125)&gt;=0.0009765625,"1","0")&amp;IF(MOD(MOD(MOD(MOD(MOD(MOD(MOD(MOD(MOD(MOD(N5-ROUNDDOWN(N5,0),0.5),0.25),0.125),0.0625),0.03125),0.015625),0.0078125),0.00390625),0.001953125),0.0009765625)&gt;=0.00048828125,"1","0")&amp;IF(MOD(MOD(MOD(MOD(MOD(MOD(MOD(MOD(MOD(MOD(MOD(N5-ROUNDDOWN(N5,0),0.5),0.25),0.125),0.0625),0.03125),0.015625),0.0078125),0.00390625),0.001953125),0.0009765625),0.00048828125)&gt;=0.000244140625,"1","0")&amp;IF(MOD(MOD(MOD(MOD(MOD(MOD(MOD(MOD(MOD(MOD(MOD(MOD(N5-ROUNDDOWN(N5,0),0.5),0.25),0.125),0.0625),0.03125),0.015625),0.0078125),0.00390625),0.001953125),0.0009765625),0.00048828125),0.000244140625)&gt;=0.0001220703125,"1","0")&amp;IF(MOD(MOD(MOD(MOD(MOD(MOD(MOD(MOD(MOD(MOD(MOD(MOD(MOD(N5-ROUNDDOWN(N5,0),0.5),0.25),0.125),0.0625),0.03125),0.015625),0.0078125),0.00390625),0.001953125),0.0009765625),0.00048828125),0.000244140625),0.0001220703125)&gt;=0.00006103515625,"1","0")&amp;IF(MOD(MOD(MOD(MOD(MOD(MOD(MOD(MOD(MOD(MOD(MOD(MOD(MOD(MOD(N5-ROUNDDOWN(N5,0),0.5),0.25),0.125),0.0625),0.03125),0.015625),0.0078125),0.00390625),0.001953125),0.0009765625),0.00048828125),0.000244140625),0.0001220703125),0.00006103515625)&gt;=0.000030517578125,"1","0")&amp;IF(MOD(MOD(MOD(MOD(MOD(MOD(MOD(MOD(MOD(MOD(MOD(MOD(MOD(MOD(MOD(N5-ROUNDDOWN(N5,0),0.5),0.25),0.125),0.0625),0.03125),0.015625),0.0078125),0.00390625),0.001953125),0.0009765625),0.00048828125),0.000244140625),0.0001220703125),0.00006103515625),0.000030517578125)&gt;=0.0000152587890625,"1","0")</f>
        <v>0001011110111110</v>
      </c>
      <c r="O28" s="26" t="str">
        <f t="shared" si="26"/>
        <v>0010101000010111</v>
      </c>
      <c r="P28" s="26" t="str">
        <f t="shared" si="26"/>
        <v>0110000001110110</v>
      </c>
      <c r="Q28" s="26" t="str">
        <f t="shared" si="26"/>
        <v>0100100101111111</v>
      </c>
      <c r="R28" s="26" t="str">
        <f t="shared" si="26"/>
        <v>0010010101111000</v>
      </c>
      <c r="S28" s="26" t="str">
        <f t="shared" si="26"/>
        <v>0011100000111001</v>
      </c>
      <c r="T28" s="26" t="str">
        <f t="shared" si="26"/>
        <v>0011111011100000</v>
      </c>
      <c r="U28" s="26" t="str">
        <f t="shared" si="26"/>
        <v>0101001000000101</v>
      </c>
      <c r="V28" s="26" t="str">
        <f t="shared" si="26"/>
        <v>0100101101110100</v>
      </c>
      <c r="W28" s="26" t="str">
        <f t="shared" si="26"/>
        <v>0011101000011001</v>
      </c>
      <c r="X28" s="26" t="str">
        <f t="shared" si="26"/>
        <v>0011011111100100</v>
      </c>
    </row>
    <row r="29">
      <c r="A29" s="6" t="str">
        <f t="shared" si="22"/>
        <v>I= 5 [A]</v>
      </c>
      <c r="B29" s="9">
        <v>1.0101101011E12</v>
      </c>
      <c r="C29" s="9">
        <v>1.100101011011E13</v>
      </c>
      <c r="D29" s="9">
        <v>1.1110001011111E14</v>
      </c>
      <c r="E29" s="9">
        <v>1.00011001101111E14</v>
      </c>
      <c r="F29" s="9">
        <v>1.00110011101E13</v>
      </c>
      <c r="G29" s="9">
        <v>1.1011101011001E13</v>
      </c>
      <c r="H29" s="9">
        <v>1.111100111101E13</v>
      </c>
      <c r="I29" s="9">
        <v>1.0100010110011E14</v>
      </c>
      <c r="J29" s="9">
        <v>1.001011010101E14</v>
      </c>
      <c r="K29" s="9">
        <v>1.1101001000011E13</v>
      </c>
      <c r="L29" s="9">
        <v>1.110000011101E13</v>
      </c>
      <c r="M29" s="6" t="str">
        <f t="shared" si="23"/>
        <v>I= 5 [A]</v>
      </c>
      <c r="N29" s="26" t="str">
        <f t="shared" ref="N29:X29" si="27">IF(N6-ROUNDDOWN(N6,0)&gt;=0.5,"1","0")&amp;IF(MOD(N6-ROUNDDOWN(N6,0),0.5)&gt;=0.25,"1","0")&amp;IF(MOD(MOD(N6-ROUNDDOWN(N6,0),0.5),0.25)&gt;=0.125,"1","0")&amp;IF(MOD(MOD(MOD(N6-ROUNDDOWN(N6,0),0.5),0.25),0.125)&gt;=0.0625,"1","0")&amp;IF(MOD(MOD(MOD(MOD(N6-ROUNDDOWN(N6,0),0.5),0.25),0.125),0.0625)&gt;=0.03125,"1","0")&amp;IF(MOD(MOD(MOD(MOD(MOD(N6-ROUNDDOWN(N6,0),0.5),0.25),0.125),0.0625),0.03125)&gt;=0.015625,"1","0")&amp;IF(MOD(MOD(MOD(MOD(MOD(MOD(N6-ROUNDDOWN(N6,0),0.5),0.25),0.125),0.0625),0.03125),0.015625)&gt;=0.0078125,"1","0")&amp;IF(MOD(MOD(MOD(MOD(MOD(MOD(MOD(N6-ROUNDDOWN(N6,0),0.5),0.25),0.125),0.0625),0.03125),0.015625),0.0078125)&gt;=0.00390625,"1","0")&amp;IF(MOD(MOD(MOD(MOD(MOD(MOD(MOD(MOD(N6-ROUNDDOWN(N6,0),0.5),0.25),0.125),0.0625),0.03125),0.015625),0.0078125),0.00390625)&gt;=0.001953125,"1","0")&amp;IF(MOD(MOD(MOD(MOD(MOD(MOD(MOD(MOD(MOD(N6-ROUNDDOWN(N6,0),0.5),0.25),0.125),0.0625),0.03125),0.015625),0.0078125),0.00390625),0.001953125)&gt;=0.0009765625,"1","0")&amp;IF(MOD(MOD(MOD(MOD(MOD(MOD(MOD(MOD(MOD(MOD(N6-ROUNDDOWN(N6,0),0.5),0.25),0.125),0.0625),0.03125),0.015625),0.0078125),0.00390625),0.001953125),0.0009765625)&gt;=0.00048828125,"1","0")&amp;IF(MOD(MOD(MOD(MOD(MOD(MOD(MOD(MOD(MOD(MOD(MOD(N6-ROUNDDOWN(N6,0),0.5),0.25),0.125),0.0625),0.03125),0.015625),0.0078125),0.00390625),0.001953125),0.0009765625),0.00048828125)&gt;=0.000244140625,"1","0")&amp;IF(MOD(MOD(MOD(MOD(MOD(MOD(MOD(MOD(MOD(MOD(MOD(MOD(N6-ROUNDDOWN(N6,0),0.5),0.25),0.125),0.0625),0.03125),0.015625),0.0078125),0.00390625),0.001953125),0.0009765625),0.00048828125),0.000244140625)&gt;=0.0001220703125,"1","0")&amp;IF(MOD(MOD(MOD(MOD(MOD(MOD(MOD(MOD(MOD(MOD(MOD(MOD(MOD(N6-ROUNDDOWN(N6,0),0.5),0.25),0.125),0.0625),0.03125),0.015625),0.0078125),0.00390625),0.001953125),0.0009765625),0.00048828125),0.000244140625),0.0001220703125)&gt;=0.00006103515625,"1","0")&amp;IF(MOD(MOD(MOD(MOD(MOD(MOD(MOD(MOD(MOD(MOD(MOD(MOD(MOD(MOD(N6-ROUNDDOWN(N6,0),0.5),0.25),0.125),0.0625),0.03125),0.015625),0.0078125),0.00390625),0.001953125),0.0009765625),0.00048828125),0.000244140625),0.0001220703125),0.00006103515625)&gt;=0.000030517578125,"1","0")&amp;IF(MOD(MOD(MOD(MOD(MOD(MOD(MOD(MOD(MOD(MOD(MOD(MOD(MOD(MOD(MOD(N6-ROUNDDOWN(N6,0),0.5),0.25),0.125),0.0625),0.03125),0.015625),0.0078125),0.00390625),0.001953125),0.0009765625),0.00048828125),0.000244140625),0.0001220703125),0.00006103515625),0.000030517578125)&gt;=0.0000152587890625,"1","0")</f>
        <v>0001010110101100</v>
      </c>
      <c r="O29" s="26" t="str">
        <f t="shared" si="27"/>
        <v>0011001010110110</v>
      </c>
      <c r="P29" s="26" t="str">
        <f t="shared" si="27"/>
        <v>0111100010111110</v>
      </c>
      <c r="Q29" s="26" t="str">
        <f t="shared" si="27"/>
        <v>0100011001101111</v>
      </c>
      <c r="R29" s="26" t="str">
        <f t="shared" si="27"/>
        <v>0010011001110100</v>
      </c>
      <c r="S29" s="26" t="str">
        <f t="shared" si="27"/>
        <v>0011011101011001</v>
      </c>
      <c r="T29" s="26" t="str">
        <f t="shared" si="27"/>
        <v>0011111001111010</v>
      </c>
      <c r="U29" s="26" t="str">
        <f t="shared" si="27"/>
        <v>0101000101100110</v>
      </c>
      <c r="V29" s="26" t="str">
        <f t="shared" si="27"/>
        <v>0100101101010100</v>
      </c>
      <c r="W29" s="26" t="str">
        <f t="shared" si="27"/>
        <v>0011101001000011</v>
      </c>
      <c r="X29" s="26" t="str">
        <f t="shared" si="27"/>
        <v>0011100000111010</v>
      </c>
    </row>
    <row r="30">
      <c r="A30" s="6" t="str">
        <f t="shared" si="22"/>
        <v>I= 6 [A]</v>
      </c>
      <c r="B30" s="9">
        <v>1.110000111111E12</v>
      </c>
      <c r="C30" s="9">
        <v>1.0001001101101E14</v>
      </c>
      <c r="D30" s="9">
        <v>1.1100101100001E14</v>
      </c>
      <c r="E30" s="9">
        <v>1.00100000000001E14</v>
      </c>
      <c r="F30" s="9">
        <v>1.0011100111001E13</v>
      </c>
      <c r="G30" s="9">
        <v>1.1011100111111E13</v>
      </c>
      <c r="H30" s="9">
        <v>1.1111001011E13</v>
      </c>
      <c r="I30" s="9">
        <v>1.0100010011111E14</v>
      </c>
      <c r="J30" s="9">
        <v>1.0010100000011E14</v>
      </c>
      <c r="K30" s="9">
        <v>1.1101000100101E13</v>
      </c>
      <c r="L30" s="9">
        <v>1.1011111100001E13</v>
      </c>
      <c r="M30" s="6" t="str">
        <f t="shared" si="23"/>
        <v>I= 6 [A]</v>
      </c>
      <c r="N30" s="26" t="str">
        <f t="shared" ref="N30:X30" si="28">IF(N7-ROUNDDOWN(N7,0)&gt;=0.5,"1","0")&amp;IF(MOD(N7-ROUNDDOWN(N7,0),0.5)&gt;=0.25,"1","0")&amp;IF(MOD(MOD(N7-ROUNDDOWN(N7,0),0.5),0.25)&gt;=0.125,"1","0")&amp;IF(MOD(MOD(MOD(N7-ROUNDDOWN(N7,0),0.5),0.25),0.125)&gt;=0.0625,"1","0")&amp;IF(MOD(MOD(MOD(MOD(N7-ROUNDDOWN(N7,0),0.5),0.25),0.125),0.0625)&gt;=0.03125,"1","0")&amp;IF(MOD(MOD(MOD(MOD(MOD(N7-ROUNDDOWN(N7,0),0.5),0.25),0.125),0.0625),0.03125)&gt;=0.015625,"1","0")&amp;IF(MOD(MOD(MOD(MOD(MOD(MOD(N7-ROUNDDOWN(N7,0),0.5),0.25),0.125),0.0625),0.03125),0.015625)&gt;=0.0078125,"1","0")&amp;IF(MOD(MOD(MOD(MOD(MOD(MOD(MOD(N7-ROUNDDOWN(N7,0),0.5),0.25),0.125),0.0625),0.03125),0.015625),0.0078125)&gt;=0.00390625,"1","0")&amp;IF(MOD(MOD(MOD(MOD(MOD(MOD(MOD(MOD(N7-ROUNDDOWN(N7,0),0.5),0.25),0.125),0.0625),0.03125),0.015625),0.0078125),0.00390625)&gt;=0.001953125,"1","0")&amp;IF(MOD(MOD(MOD(MOD(MOD(MOD(MOD(MOD(MOD(N7-ROUNDDOWN(N7,0),0.5),0.25),0.125),0.0625),0.03125),0.015625),0.0078125),0.00390625),0.001953125)&gt;=0.0009765625,"1","0")&amp;IF(MOD(MOD(MOD(MOD(MOD(MOD(MOD(MOD(MOD(MOD(N7-ROUNDDOWN(N7,0),0.5),0.25),0.125),0.0625),0.03125),0.015625),0.0078125),0.00390625),0.001953125),0.0009765625)&gt;=0.00048828125,"1","0")&amp;IF(MOD(MOD(MOD(MOD(MOD(MOD(MOD(MOD(MOD(MOD(MOD(N7-ROUNDDOWN(N7,0),0.5),0.25),0.125),0.0625),0.03125),0.015625),0.0078125),0.00390625),0.001953125),0.0009765625),0.00048828125)&gt;=0.000244140625,"1","0")&amp;IF(MOD(MOD(MOD(MOD(MOD(MOD(MOD(MOD(MOD(MOD(MOD(MOD(N7-ROUNDDOWN(N7,0),0.5),0.25),0.125),0.0625),0.03125),0.015625),0.0078125),0.00390625),0.001953125),0.0009765625),0.00048828125),0.000244140625)&gt;=0.0001220703125,"1","0")&amp;IF(MOD(MOD(MOD(MOD(MOD(MOD(MOD(MOD(MOD(MOD(MOD(MOD(MOD(N7-ROUNDDOWN(N7,0),0.5),0.25),0.125),0.0625),0.03125),0.015625),0.0078125),0.00390625),0.001953125),0.0009765625),0.00048828125),0.000244140625),0.0001220703125)&gt;=0.00006103515625,"1","0")&amp;IF(MOD(MOD(MOD(MOD(MOD(MOD(MOD(MOD(MOD(MOD(MOD(MOD(MOD(MOD(N7-ROUNDDOWN(N7,0),0.5),0.25),0.125),0.0625),0.03125),0.015625),0.0078125),0.00390625),0.001953125),0.0009765625),0.00048828125),0.000244140625),0.0001220703125),0.00006103515625)&gt;=0.000030517578125,"1","0")&amp;IF(MOD(MOD(MOD(MOD(MOD(MOD(MOD(MOD(MOD(MOD(MOD(MOD(MOD(MOD(MOD(N7-ROUNDDOWN(N7,0),0.5),0.25),0.125),0.0625),0.03125),0.015625),0.0078125),0.00390625),0.001953125),0.0009765625),0.00048828125),0.000244140625),0.0001220703125),0.00006103515625),0.000030517578125)&gt;=0.0000152587890625,"1","0")</f>
        <v>0001110000111111</v>
      </c>
      <c r="O30" s="26" t="str">
        <f t="shared" si="28"/>
        <v>0100010011011010</v>
      </c>
      <c r="P30" s="26" t="str">
        <f t="shared" si="28"/>
        <v>0111001011000010</v>
      </c>
      <c r="Q30" s="26" t="str">
        <f t="shared" si="28"/>
        <v>0100100000000001</v>
      </c>
      <c r="R30" s="26" t="str">
        <f t="shared" si="28"/>
        <v>0010011100111001</v>
      </c>
      <c r="S30" s="26" t="str">
        <f t="shared" si="28"/>
        <v>0011011100111111</v>
      </c>
      <c r="T30" s="26" t="str">
        <f t="shared" si="28"/>
        <v>0011111001011000</v>
      </c>
      <c r="U30" s="26" t="str">
        <f t="shared" si="28"/>
        <v>0101000100111110</v>
      </c>
      <c r="V30" s="26" t="str">
        <f t="shared" si="28"/>
        <v>0100101000000110</v>
      </c>
      <c r="W30" s="26" t="str">
        <f t="shared" si="28"/>
        <v>0011101000100101</v>
      </c>
      <c r="X30" s="26" t="str">
        <f t="shared" si="28"/>
        <v>0011011111100001</v>
      </c>
    </row>
    <row r="31">
      <c r="A31" s="6" t="str">
        <f t="shared" si="22"/>
        <v>I= 7 [A]</v>
      </c>
      <c r="B31" s="9">
        <v>1.0001001011001E13</v>
      </c>
      <c r="C31" s="9">
        <v>1.00010101001001E14</v>
      </c>
      <c r="D31" s="9">
        <v>1.101011101001E14</v>
      </c>
      <c r="E31" s="9">
        <v>1.00101111010011E14</v>
      </c>
      <c r="F31" s="9">
        <v>1.0100000101101E13</v>
      </c>
      <c r="G31" s="9">
        <v>1.101111E13</v>
      </c>
      <c r="H31" s="9">
        <v>1.1110111011011E13</v>
      </c>
      <c r="I31" s="9">
        <v>1.01000011010001E14</v>
      </c>
      <c r="J31" s="9">
        <v>1.00100110001101E14</v>
      </c>
      <c r="K31" s="9">
        <v>1.11010000011E13</v>
      </c>
      <c r="L31" s="9">
        <v>1.1011101001101E13</v>
      </c>
      <c r="M31" s="6" t="str">
        <f t="shared" si="23"/>
        <v>I= 7 [A]</v>
      </c>
      <c r="N31" s="26" t="str">
        <f t="shared" ref="N31:X31" si="29">IF(N8-ROUNDDOWN(N8,0)&gt;=0.5,"1","0")&amp;IF(MOD(N8-ROUNDDOWN(N8,0),0.5)&gt;=0.25,"1","0")&amp;IF(MOD(MOD(N8-ROUNDDOWN(N8,0),0.5),0.25)&gt;=0.125,"1","0")&amp;IF(MOD(MOD(MOD(N8-ROUNDDOWN(N8,0),0.5),0.25),0.125)&gt;=0.0625,"1","0")&amp;IF(MOD(MOD(MOD(MOD(N8-ROUNDDOWN(N8,0),0.5),0.25),0.125),0.0625)&gt;=0.03125,"1","0")&amp;IF(MOD(MOD(MOD(MOD(MOD(N8-ROUNDDOWN(N8,0),0.5),0.25),0.125),0.0625),0.03125)&gt;=0.015625,"1","0")&amp;IF(MOD(MOD(MOD(MOD(MOD(MOD(N8-ROUNDDOWN(N8,0),0.5),0.25),0.125),0.0625),0.03125),0.015625)&gt;=0.0078125,"1","0")&amp;IF(MOD(MOD(MOD(MOD(MOD(MOD(MOD(N8-ROUNDDOWN(N8,0),0.5),0.25),0.125),0.0625),0.03125),0.015625),0.0078125)&gt;=0.00390625,"1","0")&amp;IF(MOD(MOD(MOD(MOD(MOD(MOD(MOD(MOD(N8-ROUNDDOWN(N8,0),0.5),0.25),0.125),0.0625),0.03125),0.015625),0.0078125),0.00390625)&gt;=0.001953125,"1","0")&amp;IF(MOD(MOD(MOD(MOD(MOD(MOD(MOD(MOD(MOD(N8-ROUNDDOWN(N8,0),0.5),0.25),0.125),0.0625),0.03125),0.015625),0.0078125),0.00390625),0.001953125)&gt;=0.0009765625,"1","0")&amp;IF(MOD(MOD(MOD(MOD(MOD(MOD(MOD(MOD(MOD(MOD(N8-ROUNDDOWN(N8,0),0.5),0.25),0.125),0.0625),0.03125),0.015625),0.0078125),0.00390625),0.001953125),0.0009765625)&gt;=0.00048828125,"1","0")&amp;IF(MOD(MOD(MOD(MOD(MOD(MOD(MOD(MOD(MOD(MOD(MOD(N8-ROUNDDOWN(N8,0),0.5),0.25),0.125),0.0625),0.03125),0.015625),0.0078125),0.00390625),0.001953125),0.0009765625),0.00048828125)&gt;=0.000244140625,"1","0")&amp;IF(MOD(MOD(MOD(MOD(MOD(MOD(MOD(MOD(MOD(MOD(MOD(MOD(N8-ROUNDDOWN(N8,0),0.5),0.25),0.125),0.0625),0.03125),0.015625),0.0078125),0.00390625),0.001953125),0.0009765625),0.00048828125),0.000244140625)&gt;=0.0001220703125,"1","0")&amp;IF(MOD(MOD(MOD(MOD(MOD(MOD(MOD(MOD(MOD(MOD(MOD(MOD(MOD(N8-ROUNDDOWN(N8,0),0.5),0.25),0.125),0.0625),0.03125),0.015625),0.0078125),0.00390625),0.001953125),0.0009765625),0.00048828125),0.000244140625),0.0001220703125)&gt;=0.00006103515625,"1","0")&amp;IF(MOD(MOD(MOD(MOD(MOD(MOD(MOD(MOD(MOD(MOD(MOD(MOD(MOD(MOD(N8-ROUNDDOWN(N8,0),0.5),0.25),0.125),0.0625),0.03125),0.015625),0.0078125),0.00390625),0.001953125),0.0009765625),0.00048828125),0.000244140625),0.0001220703125),0.00006103515625)&gt;=0.000030517578125,"1","0")&amp;IF(MOD(MOD(MOD(MOD(MOD(MOD(MOD(MOD(MOD(MOD(MOD(MOD(MOD(MOD(MOD(N8-ROUNDDOWN(N8,0),0.5),0.25),0.125),0.0625),0.03125),0.015625),0.0078125),0.00390625),0.001953125),0.0009765625),0.00048828125),0.000244140625),0.0001220703125),0.00006103515625),0.000030517578125)&gt;=0.0000152587890625,"1","0")</f>
        <v>0010001001011001</v>
      </c>
      <c r="O31" s="26" t="str">
        <f t="shared" si="29"/>
        <v>0100010101001001</v>
      </c>
      <c r="P31" s="26" t="str">
        <f t="shared" si="29"/>
        <v>0110101110100100</v>
      </c>
      <c r="Q31" s="26" t="str">
        <f t="shared" si="29"/>
        <v>0100101111010011</v>
      </c>
      <c r="R31" s="26" t="str">
        <f t="shared" si="29"/>
        <v>0010100000101101</v>
      </c>
      <c r="S31" s="26" t="str">
        <f t="shared" si="29"/>
        <v>0011011110000000</v>
      </c>
      <c r="T31" s="26" t="str">
        <f t="shared" si="29"/>
        <v>0011110111011011</v>
      </c>
      <c r="U31" s="26" t="str">
        <f t="shared" si="29"/>
        <v>0101000011010001</v>
      </c>
      <c r="V31" s="26" t="str">
        <f t="shared" si="29"/>
        <v>0100100110001101</v>
      </c>
      <c r="W31" s="26" t="str">
        <f t="shared" si="29"/>
        <v>0011101000001100</v>
      </c>
      <c r="X31" s="26" t="str">
        <f t="shared" si="29"/>
        <v>0011011101001101</v>
      </c>
    </row>
    <row r="32">
      <c r="A32" s="6" t="str">
        <f t="shared" si="22"/>
        <v>I= 8 [A]</v>
      </c>
      <c r="B32" s="9">
        <v>1.0100000101E13</v>
      </c>
      <c r="C32" s="9">
        <v>1.001001111101E14</v>
      </c>
      <c r="D32" s="9">
        <v>1.10011111111111E14</v>
      </c>
      <c r="E32" s="9">
        <v>1.01000010101101E14</v>
      </c>
      <c r="F32" s="9">
        <v>1.010011001101E13</v>
      </c>
      <c r="G32" s="9">
        <v>1.101101111011E13</v>
      </c>
      <c r="H32" s="9">
        <v>1.1110111001111E13</v>
      </c>
      <c r="I32" s="9">
        <v>1.00111111111101E14</v>
      </c>
      <c r="J32" s="9">
        <v>1.0010000011111E14</v>
      </c>
      <c r="K32" s="9">
        <v>1.1100101011101E13</v>
      </c>
      <c r="L32" s="9">
        <v>1.1011010111E13</v>
      </c>
      <c r="M32" s="6" t="str">
        <f t="shared" si="23"/>
        <v>I= 8 [A]</v>
      </c>
      <c r="N32" s="26" t="str">
        <f t="shared" ref="N32:X32" si="30">IF(N9-ROUNDDOWN(N9,0)&gt;=0.5,"1","0")&amp;IF(MOD(N9-ROUNDDOWN(N9,0),0.5)&gt;=0.25,"1","0")&amp;IF(MOD(MOD(N9-ROUNDDOWN(N9,0),0.5),0.25)&gt;=0.125,"1","0")&amp;IF(MOD(MOD(MOD(N9-ROUNDDOWN(N9,0),0.5),0.25),0.125)&gt;=0.0625,"1","0")&amp;IF(MOD(MOD(MOD(MOD(N9-ROUNDDOWN(N9,0),0.5),0.25),0.125),0.0625)&gt;=0.03125,"1","0")&amp;IF(MOD(MOD(MOD(MOD(MOD(N9-ROUNDDOWN(N9,0),0.5),0.25),0.125),0.0625),0.03125)&gt;=0.015625,"1","0")&amp;IF(MOD(MOD(MOD(MOD(MOD(MOD(N9-ROUNDDOWN(N9,0),0.5),0.25),0.125),0.0625),0.03125),0.015625)&gt;=0.0078125,"1","0")&amp;IF(MOD(MOD(MOD(MOD(MOD(MOD(MOD(N9-ROUNDDOWN(N9,0),0.5),0.25),0.125),0.0625),0.03125),0.015625),0.0078125)&gt;=0.00390625,"1","0")&amp;IF(MOD(MOD(MOD(MOD(MOD(MOD(MOD(MOD(N9-ROUNDDOWN(N9,0),0.5),0.25),0.125),0.0625),0.03125),0.015625),0.0078125),0.00390625)&gt;=0.001953125,"1","0")&amp;IF(MOD(MOD(MOD(MOD(MOD(MOD(MOD(MOD(MOD(N9-ROUNDDOWN(N9,0),0.5),0.25),0.125),0.0625),0.03125),0.015625),0.0078125),0.00390625),0.001953125)&gt;=0.0009765625,"1","0")&amp;IF(MOD(MOD(MOD(MOD(MOD(MOD(MOD(MOD(MOD(MOD(N9-ROUNDDOWN(N9,0),0.5),0.25),0.125),0.0625),0.03125),0.015625),0.0078125),0.00390625),0.001953125),0.0009765625)&gt;=0.00048828125,"1","0")&amp;IF(MOD(MOD(MOD(MOD(MOD(MOD(MOD(MOD(MOD(MOD(MOD(N9-ROUNDDOWN(N9,0),0.5),0.25),0.125),0.0625),0.03125),0.015625),0.0078125),0.00390625),0.001953125),0.0009765625),0.00048828125)&gt;=0.000244140625,"1","0")&amp;IF(MOD(MOD(MOD(MOD(MOD(MOD(MOD(MOD(MOD(MOD(MOD(MOD(N9-ROUNDDOWN(N9,0),0.5),0.25),0.125),0.0625),0.03125),0.015625),0.0078125),0.00390625),0.001953125),0.0009765625),0.00048828125),0.000244140625)&gt;=0.0001220703125,"1","0")&amp;IF(MOD(MOD(MOD(MOD(MOD(MOD(MOD(MOD(MOD(MOD(MOD(MOD(MOD(N9-ROUNDDOWN(N9,0),0.5),0.25),0.125),0.0625),0.03125),0.015625),0.0078125),0.00390625),0.001953125),0.0009765625),0.00048828125),0.000244140625),0.0001220703125)&gt;=0.00006103515625,"1","0")&amp;IF(MOD(MOD(MOD(MOD(MOD(MOD(MOD(MOD(MOD(MOD(MOD(MOD(MOD(MOD(N9-ROUNDDOWN(N9,0),0.5),0.25),0.125),0.0625),0.03125),0.015625),0.0078125),0.00390625),0.001953125),0.0009765625),0.00048828125),0.000244140625),0.0001220703125),0.00006103515625)&gt;=0.000030517578125,"1","0")&amp;IF(MOD(MOD(MOD(MOD(MOD(MOD(MOD(MOD(MOD(MOD(MOD(MOD(MOD(MOD(MOD(N9-ROUNDDOWN(N9,0),0.5),0.25),0.125),0.0625),0.03125),0.015625),0.0078125),0.00390625),0.001953125),0.0009765625),0.00048828125),0.000244140625),0.0001220703125),0.00006103515625),0.000030517578125)&gt;=0.0000152587890625,"1","0")</f>
        <v>0010100000101000</v>
      </c>
      <c r="O32" s="26" t="str">
        <f t="shared" si="30"/>
        <v>0100100111110100</v>
      </c>
      <c r="P32" s="26" t="str">
        <f t="shared" si="30"/>
        <v>0110100000000000</v>
      </c>
      <c r="Q32" s="26" t="str">
        <f t="shared" si="30"/>
        <v>0101000010101101</v>
      </c>
      <c r="R32" s="26" t="str">
        <f t="shared" si="30"/>
        <v>0010100110011010</v>
      </c>
      <c r="S32" s="26" t="str">
        <f t="shared" si="30"/>
        <v>0011011011110110</v>
      </c>
      <c r="T32" s="26" t="str">
        <f t="shared" si="30"/>
        <v>0011110111001111</v>
      </c>
      <c r="U32" s="26" t="str">
        <f t="shared" si="30"/>
        <v>0100111111111101</v>
      </c>
      <c r="V32" s="26" t="str">
        <f t="shared" si="30"/>
        <v>0100100000111110</v>
      </c>
      <c r="W32" s="26" t="str">
        <f t="shared" si="30"/>
        <v>0011100101011101</v>
      </c>
      <c r="X32" s="26" t="str">
        <f t="shared" si="30"/>
        <v>0011011010111000</v>
      </c>
    </row>
    <row r="33">
      <c r="A33" s="6" t="str">
        <f t="shared" si="22"/>
        <v>I= 9 [A]</v>
      </c>
      <c r="B33" s="9">
        <v>1.0111010001011E13</v>
      </c>
      <c r="C33" s="9">
        <v>1.001000100111E14</v>
      </c>
      <c r="D33" s="9">
        <v>1.10101011000111E14</v>
      </c>
      <c r="E33" s="9">
        <v>1.010100111011E14</v>
      </c>
      <c r="F33" s="9">
        <v>1.0101000101111E13</v>
      </c>
      <c r="G33" s="9">
        <v>1.101011010101E13</v>
      </c>
      <c r="H33" s="9">
        <v>1.11100010101E13</v>
      </c>
      <c r="I33" s="9">
        <v>1.00110110010001E14</v>
      </c>
      <c r="J33" s="9">
        <v>1.00011110111E14</v>
      </c>
      <c r="K33" s="9">
        <v>1.1101010010001E13</v>
      </c>
      <c r="L33" s="9">
        <v>1.101111101E13</v>
      </c>
      <c r="M33" s="6" t="str">
        <f t="shared" si="23"/>
        <v>I= 9 [A]</v>
      </c>
      <c r="N33" s="26" t="str">
        <f t="shared" ref="N33:X33" si="31">IF(N10-ROUNDDOWN(N10,0)&gt;=0.5,"1","0")&amp;IF(MOD(N10-ROUNDDOWN(N10,0),0.5)&gt;=0.25,"1","0")&amp;IF(MOD(MOD(N10-ROUNDDOWN(N10,0),0.5),0.25)&gt;=0.125,"1","0")&amp;IF(MOD(MOD(MOD(N10-ROUNDDOWN(N10,0),0.5),0.25),0.125)&gt;=0.0625,"1","0")&amp;IF(MOD(MOD(MOD(MOD(N10-ROUNDDOWN(N10,0),0.5),0.25),0.125),0.0625)&gt;=0.03125,"1","0")&amp;IF(MOD(MOD(MOD(MOD(MOD(N10-ROUNDDOWN(N10,0),0.5),0.25),0.125),0.0625),0.03125)&gt;=0.015625,"1","0")&amp;IF(MOD(MOD(MOD(MOD(MOD(MOD(N10-ROUNDDOWN(N10,0),0.5),0.25),0.125),0.0625),0.03125),0.015625)&gt;=0.0078125,"1","0")&amp;IF(MOD(MOD(MOD(MOD(MOD(MOD(MOD(N10-ROUNDDOWN(N10,0),0.5),0.25),0.125),0.0625),0.03125),0.015625),0.0078125)&gt;=0.00390625,"1","0")&amp;IF(MOD(MOD(MOD(MOD(MOD(MOD(MOD(MOD(N10-ROUNDDOWN(N10,0),0.5),0.25),0.125),0.0625),0.03125),0.015625),0.0078125),0.00390625)&gt;=0.001953125,"1","0")&amp;IF(MOD(MOD(MOD(MOD(MOD(MOD(MOD(MOD(MOD(N10-ROUNDDOWN(N10,0),0.5),0.25),0.125),0.0625),0.03125),0.015625),0.0078125),0.00390625),0.001953125)&gt;=0.0009765625,"1","0")&amp;IF(MOD(MOD(MOD(MOD(MOD(MOD(MOD(MOD(MOD(MOD(N10-ROUNDDOWN(N10,0),0.5),0.25),0.125),0.0625),0.03125),0.015625),0.0078125),0.00390625),0.001953125),0.0009765625)&gt;=0.00048828125,"1","0")&amp;IF(MOD(MOD(MOD(MOD(MOD(MOD(MOD(MOD(MOD(MOD(MOD(N10-ROUNDDOWN(N10,0),0.5),0.25),0.125),0.0625),0.03125),0.015625),0.0078125),0.00390625),0.001953125),0.0009765625),0.00048828125)&gt;=0.000244140625,"1","0")&amp;IF(MOD(MOD(MOD(MOD(MOD(MOD(MOD(MOD(MOD(MOD(MOD(MOD(N10-ROUNDDOWN(N10,0),0.5),0.25),0.125),0.0625),0.03125),0.015625),0.0078125),0.00390625),0.001953125),0.0009765625),0.00048828125),0.000244140625)&gt;=0.0001220703125,"1","0")&amp;IF(MOD(MOD(MOD(MOD(MOD(MOD(MOD(MOD(MOD(MOD(MOD(MOD(MOD(N10-ROUNDDOWN(N10,0),0.5),0.25),0.125),0.0625),0.03125),0.015625),0.0078125),0.00390625),0.001953125),0.0009765625),0.00048828125),0.000244140625),0.0001220703125)&gt;=0.00006103515625,"1","0")&amp;IF(MOD(MOD(MOD(MOD(MOD(MOD(MOD(MOD(MOD(MOD(MOD(MOD(MOD(MOD(N10-ROUNDDOWN(N10,0),0.5),0.25),0.125),0.0625),0.03125),0.015625),0.0078125),0.00390625),0.001953125),0.0009765625),0.00048828125),0.000244140625),0.0001220703125),0.00006103515625)&gt;=0.000030517578125,"1","0")&amp;IF(MOD(MOD(MOD(MOD(MOD(MOD(MOD(MOD(MOD(MOD(MOD(MOD(MOD(MOD(MOD(N10-ROUNDDOWN(N10,0),0.5),0.25),0.125),0.0625),0.03125),0.015625),0.0078125),0.00390625),0.001953125),0.0009765625),0.00048828125),0.000244140625),0.0001220703125),0.00006103515625),0.000030517578125)&gt;=0.0000152587890625,"1","0")</f>
        <v>0010111010001011</v>
      </c>
      <c r="O33" s="26" t="str">
        <f t="shared" si="31"/>
        <v>0100100010011100</v>
      </c>
      <c r="P33" s="26" t="str">
        <f t="shared" si="31"/>
        <v>0110101011000111</v>
      </c>
      <c r="Q33" s="26" t="str">
        <f t="shared" si="31"/>
        <v>0101010011101100</v>
      </c>
      <c r="R33" s="26" t="str">
        <f t="shared" si="31"/>
        <v>0010101000101111</v>
      </c>
      <c r="S33" s="26" t="str">
        <f t="shared" si="31"/>
        <v>0011010110101010</v>
      </c>
      <c r="T33" s="26" t="str">
        <f t="shared" si="31"/>
        <v>0011110001010100</v>
      </c>
      <c r="U33" s="26" t="str">
        <f t="shared" si="31"/>
        <v>0100110110010001</v>
      </c>
      <c r="V33" s="26" t="str">
        <f t="shared" si="31"/>
        <v>0100011110111000</v>
      </c>
      <c r="W33" s="26" t="str">
        <f t="shared" si="31"/>
        <v>0011101010010001</v>
      </c>
      <c r="X33" s="26" t="str">
        <f t="shared" si="31"/>
        <v>0011011111010000</v>
      </c>
    </row>
    <row r="34">
      <c r="A34" s="6" t="str">
        <f t="shared" si="22"/>
        <v>I= 10 [A]</v>
      </c>
      <c r="B34" s="9">
        <v>1.1011010011101E13</v>
      </c>
      <c r="C34" s="9">
        <v>1.00001010001111E14</v>
      </c>
      <c r="D34" s="9">
        <v>1.1001010011011E14</v>
      </c>
      <c r="E34" s="9">
        <v>1.0011000001011E14</v>
      </c>
      <c r="F34" s="9">
        <v>1.0011110010001E13</v>
      </c>
      <c r="G34" s="9">
        <v>1.101110001001E13</v>
      </c>
      <c r="H34" s="9">
        <v>1.11110000101E13</v>
      </c>
      <c r="I34" s="9">
        <v>1.0100100111011E14</v>
      </c>
      <c r="J34" s="9">
        <v>1.00100111101111E14</v>
      </c>
      <c r="K34" s="9">
        <v>1.111010111011E13</v>
      </c>
      <c r="L34" s="9">
        <v>1.1110100110001E13</v>
      </c>
      <c r="M34" s="6" t="str">
        <f t="shared" si="23"/>
        <v>I= 10 [A]</v>
      </c>
      <c r="N34" s="26" t="str">
        <f t="shared" ref="N34:X34" si="32">IF(N11-ROUNDDOWN(N11,0)&gt;=0.5,"1","0")&amp;IF(MOD(N11-ROUNDDOWN(N11,0),0.5)&gt;=0.25,"1","0")&amp;IF(MOD(MOD(N11-ROUNDDOWN(N11,0),0.5),0.25)&gt;=0.125,"1","0")&amp;IF(MOD(MOD(MOD(N11-ROUNDDOWN(N11,0),0.5),0.25),0.125)&gt;=0.0625,"1","0")&amp;IF(MOD(MOD(MOD(MOD(N11-ROUNDDOWN(N11,0),0.5),0.25),0.125),0.0625)&gt;=0.03125,"1","0")&amp;IF(MOD(MOD(MOD(MOD(MOD(N11-ROUNDDOWN(N11,0),0.5),0.25),0.125),0.0625),0.03125)&gt;=0.015625,"1","0")&amp;IF(MOD(MOD(MOD(MOD(MOD(MOD(N11-ROUNDDOWN(N11,0),0.5),0.25),0.125),0.0625),0.03125),0.015625)&gt;=0.0078125,"1","0")&amp;IF(MOD(MOD(MOD(MOD(MOD(MOD(MOD(N11-ROUNDDOWN(N11,0),0.5),0.25),0.125),0.0625),0.03125),0.015625),0.0078125)&gt;=0.00390625,"1","0")&amp;IF(MOD(MOD(MOD(MOD(MOD(MOD(MOD(MOD(N11-ROUNDDOWN(N11,0),0.5),0.25),0.125),0.0625),0.03125),0.015625),0.0078125),0.00390625)&gt;=0.001953125,"1","0")&amp;IF(MOD(MOD(MOD(MOD(MOD(MOD(MOD(MOD(MOD(N11-ROUNDDOWN(N11,0),0.5),0.25),0.125),0.0625),0.03125),0.015625),0.0078125),0.00390625),0.001953125)&gt;=0.0009765625,"1","0")&amp;IF(MOD(MOD(MOD(MOD(MOD(MOD(MOD(MOD(MOD(MOD(N11-ROUNDDOWN(N11,0),0.5),0.25),0.125),0.0625),0.03125),0.015625),0.0078125),0.00390625),0.001953125),0.0009765625)&gt;=0.00048828125,"1","0")&amp;IF(MOD(MOD(MOD(MOD(MOD(MOD(MOD(MOD(MOD(MOD(MOD(N11-ROUNDDOWN(N11,0),0.5),0.25),0.125),0.0625),0.03125),0.015625),0.0078125),0.00390625),0.001953125),0.0009765625),0.00048828125)&gt;=0.000244140625,"1","0")&amp;IF(MOD(MOD(MOD(MOD(MOD(MOD(MOD(MOD(MOD(MOD(MOD(MOD(N11-ROUNDDOWN(N11,0),0.5),0.25),0.125),0.0625),0.03125),0.015625),0.0078125),0.00390625),0.001953125),0.0009765625),0.00048828125),0.000244140625)&gt;=0.0001220703125,"1","0")&amp;IF(MOD(MOD(MOD(MOD(MOD(MOD(MOD(MOD(MOD(MOD(MOD(MOD(MOD(N11-ROUNDDOWN(N11,0),0.5),0.25),0.125),0.0625),0.03125),0.015625),0.0078125),0.00390625),0.001953125),0.0009765625),0.00048828125),0.000244140625),0.0001220703125)&gt;=0.00006103515625,"1","0")&amp;IF(MOD(MOD(MOD(MOD(MOD(MOD(MOD(MOD(MOD(MOD(MOD(MOD(MOD(MOD(N11-ROUNDDOWN(N11,0),0.5),0.25),0.125),0.0625),0.03125),0.015625),0.0078125),0.00390625),0.001953125),0.0009765625),0.00048828125),0.000244140625),0.0001220703125),0.00006103515625)&gt;=0.000030517578125,"1","0")&amp;IF(MOD(MOD(MOD(MOD(MOD(MOD(MOD(MOD(MOD(MOD(MOD(MOD(MOD(MOD(MOD(N11-ROUNDDOWN(N11,0),0.5),0.25),0.125),0.0625),0.03125),0.015625),0.0078125),0.00390625),0.001953125),0.0009765625),0.00048828125),0.000244140625),0.0001220703125),0.00006103515625),0.000030517578125)&gt;=0.0000152587890625,"1","0")</f>
        <v>0011011010011101</v>
      </c>
      <c r="O34" s="26" t="str">
        <f t="shared" si="32"/>
        <v>0100001010001111</v>
      </c>
      <c r="P34" s="26" t="str">
        <f t="shared" si="32"/>
        <v>0110010100110110</v>
      </c>
      <c r="Q34" s="26" t="str">
        <f t="shared" si="32"/>
        <v>0100110000010110</v>
      </c>
      <c r="R34" s="26" t="str">
        <f t="shared" si="32"/>
        <v>0010011110010001</v>
      </c>
      <c r="S34" s="26" t="str">
        <f t="shared" si="32"/>
        <v>0011011100010010</v>
      </c>
      <c r="T34" s="26" t="str">
        <f t="shared" si="32"/>
        <v>0011111000010100</v>
      </c>
      <c r="U34" s="26" t="str">
        <f t="shared" si="32"/>
        <v>0101001001110110</v>
      </c>
      <c r="V34" s="26" t="str">
        <f t="shared" si="32"/>
        <v>0100100111101111</v>
      </c>
      <c r="W34" s="26" t="str">
        <f t="shared" si="32"/>
        <v>0011110101110110</v>
      </c>
      <c r="X34" s="26" t="str">
        <f t="shared" si="32"/>
        <v>0011110100110001</v>
      </c>
    </row>
    <row r="35">
      <c r="A35" s="6" t="str">
        <f t="shared" si="22"/>
        <v>I= 11 [A]</v>
      </c>
      <c r="B35" s="9">
        <v>1.1100011100011E13</v>
      </c>
      <c r="C35" s="9">
        <v>1.1111101100011E13</v>
      </c>
      <c r="D35" s="9">
        <v>1.01110101011011E14</v>
      </c>
      <c r="E35" s="9">
        <v>1.0010110011101E14</v>
      </c>
      <c r="F35" s="9">
        <v>1.0011110000011E13</v>
      </c>
      <c r="G35" s="9">
        <v>1.1100101100101E13</v>
      </c>
      <c r="H35" s="9">
        <v>1.00000101001E14</v>
      </c>
      <c r="I35" s="9">
        <v>1.01001101110001E14</v>
      </c>
      <c r="J35" s="9">
        <v>1.00101100111001E14</v>
      </c>
      <c r="K35" s="9">
        <v>1.000100111101E14</v>
      </c>
      <c r="L35" s="9">
        <v>1.00000010101001E14</v>
      </c>
      <c r="M35" s="6" t="str">
        <f t="shared" si="23"/>
        <v>I= 11 [A]</v>
      </c>
      <c r="N35" s="26" t="str">
        <f t="shared" ref="N35:X35" si="33">IF(N12-ROUNDDOWN(N12,0)&gt;=0.5,"1","0")&amp;IF(MOD(N12-ROUNDDOWN(N12,0),0.5)&gt;=0.25,"1","0")&amp;IF(MOD(MOD(N12-ROUNDDOWN(N12,0),0.5),0.25)&gt;=0.125,"1","0")&amp;IF(MOD(MOD(MOD(N12-ROUNDDOWN(N12,0),0.5),0.25),0.125)&gt;=0.0625,"1","0")&amp;IF(MOD(MOD(MOD(MOD(N12-ROUNDDOWN(N12,0),0.5),0.25),0.125),0.0625)&gt;=0.03125,"1","0")&amp;IF(MOD(MOD(MOD(MOD(MOD(N12-ROUNDDOWN(N12,0),0.5),0.25),0.125),0.0625),0.03125)&gt;=0.015625,"1","0")&amp;IF(MOD(MOD(MOD(MOD(MOD(MOD(N12-ROUNDDOWN(N12,0),0.5),0.25),0.125),0.0625),0.03125),0.015625)&gt;=0.0078125,"1","0")&amp;IF(MOD(MOD(MOD(MOD(MOD(MOD(MOD(N12-ROUNDDOWN(N12,0),0.5),0.25),0.125),0.0625),0.03125),0.015625),0.0078125)&gt;=0.00390625,"1","0")&amp;IF(MOD(MOD(MOD(MOD(MOD(MOD(MOD(MOD(N12-ROUNDDOWN(N12,0),0.5),0.25),0.125),0.0625),0.03125),0.015625),0.0078125),0.00390625)&gt;=0.001953125,"1","0")&amp;IF(MOD(MOD(MOD(MOD(MOD(MOD(MOD(MOD(MOD(N12-ROUNDDOWN(N12,0),0.5),0.25),0.125),0.0625),0.03125),0.015625),0.0078125),0.00390625),0.001953125)&gt;=0.0009765625,"1","0")&amp;IF(MOD(MOD(MOD(MOD(MOD(MOD(MOD(MOD(MOD(MOD(N12-ROUNDDOWN(N12,0),0.5),0.25),0.125),0.0625),0.03125),0.015625),0.0078125),0.00390625),0.001953125),0.0009765625)&gt;=0.00048828125,"1","0")&amp;IF(MOD(MOD(MOD(MOD(MOD(MOD(MOD(MOD(MOD(MOD(MOD(N12-ROUNDDOWN(N12,0),0.5),0.25),0.125),0.0625),0.03125),0.015625),0.0078125),0.00390625),0.001953125),0.0009765625),0.00048828125)&gt;=0.000244140625,"1","0")&amp;IF(MOD(MOD(MOD(MOD(MOD(MOD(MOD(MOD(MOD(MOD(MOD(MOD(N12-ROUNDDOWN(N12,0),0.5),0.25),0.125),0.0625),0.03125),0.015625),0.0078125),0.00390625),0.001953125),0.0009765625),0.00048828125),0.000244140625)&gt;=0.0001220703125,"1","0")&amp;IF(MOD(MOD(MOD(MOD(MOD(MOD(MOD(MOD(MOD(MOD(MOD(MOD(MOD(N12-ROUNDDOWN(N12,0),0.5),0.25),0.125),0.0625),0.03125),0.015625),0.0078125),0.00390625),0.001953125),0.0009765625),0.00048828125),0.000244140625),0.0001220703125)&gt;=0.00006103515625,"1","0")&amp;IF(MOD(MOD(MOD(MOD(MOD(MOD(MOD(MOD(MOD(MOD(MOD(MOD(MOD(MOD(N12-ROUNDDOWN(N12,0),0.5),0.25),0.125),0.0625),0.03125),0.015625),0.0078125),0.00390625),0.001953125),0.0009765625),0.00048828125),0.000244140625),0.0001220703125),0.00006103515625)&gt;=0.000030517578125,"1","0")&amp;IF(MOD(MOD(MOD(MOD(MOD(MOD(MOD(MOD(MOD(MOD(MOD(MOD(MOD(MOD(MOD(N12-ROUNDDOWN(N12,0),0.5),0.25),0.125),0.0625),0.03125),0.015625),0.0078125),0.00390625),0.001953125),0.0009765625),0.00048828125),0.000244140625),0.0001220703125),0.00006103515625),0.000030517578125)&gt;=0.0000152587890625,"1","0")</f>
        <v>0011100011100011</v>
      </c>
      <c r="O35" s="26" t="str">
        <f t="shared" si="33"/>
        <v>0011111101100011</v>
      </c>
      <c r="P35" s="26" t="str">
        <f t="shared" si="33"/>
        <v>0101110101011011</v>
      </c>
      <c r="Q35" s="26" t="str">
        <f t="shared" si="33"/>
        <v>0100101100111010</v>
      </c>
      <c r="R35" s="26" t="str">
        <f t="shared" si="33"/>
        <v>0010011110000011</v>
      </c>
      <c r="S35" s="26" t="str">
        <f t="shared" si="33"/>
        <v>0011100101100101</v>
      </c>
      <c r="T35" s="26" t="str">
        <f t="shared" si="33"/>
        <v>0100000101001000</v>
      </c>
      <c r="U35" s="26" t="str">
        <f t="shared" si="33"/>
        <v>0101001101110001</v>
      </c>
      <c r="V35" s="26" t="str">
        <f t="shared" si="33"/>
        <v>0100101100111001</v>
      </c>
      <c r="W35" s="26" t="str">
        <f t="shared" si="33"/>
        <v>0100010011110100</v>
      </c>
      <c r="X35" s="26" t="str">
        <f t="shared" si="33"/>
        <v>0100000010101001</v>
      </c>
    </row>
    <row r="36">
      <c r="A36" s="6" t="str">
        <f t="shared" si="22"/>
        <v>I= 12 [A]</v>
      </c>
      <c r="B36" s="9">
        <v>1.0000000111101E14</v>
      </c>
      <c r="C36" s="9">
        <v>1.01011001110001E14</v>
      </c>
      <c r="D36" s="9">
        <v>1.01101111001001E14</v>
      </c>
      <c r="E36" s="9">
        <v>1.0011001001001E14</v>
      </c>
      <c r="F36" s="9">
        <v>1.0011110110001E13</v>
      </c>
      <c r="G36" s="9">
        <v>1.0E14</v>
      </c>
      <c r="H36" s="9">
        <v>1.00100101100111E14</v>
      </c>
      <c r="I36" s="9">
        <v>1.011001001111E14</v>
      </c>
      <c r="J36" s="9">
        <v>1.0011110000111E14</v>
      </c>
      <c r="K36" s="9">
        <v>1.01E14</v>
      </c>
      <c r="L36" s="9">
        <v>1.00110001111101E14</v>
      </c>
      <c r="M36" s="6" t="str">
        <f t="shared" si="23"/>
        <v>I= 12 [A]</v>
      </c>
      <c r="N36" s="26" t="str">
        <f t="shared" ref="N36:X36" si="34">IF(N13-ROUNDDOWN(N13,0)&gt;=0.5,"1","0")&amp;IF(MOD(N13-ROUNDDOWN(N13,0),0.5)&gt;=0.25,"1","0")&amp;IF(MOD(MOD(N13-ROUNDDOWN(N13,0),0.5),0.25)&gt;=0.125,"1","0")&amp;IF(MOD(MOD(MOD(N13-ROUNDDOWN(N13,0),0.5),0.25),0.125)&gt;=0.0625,"1","0")&amp;IF(MOD(MOD(MOD(MOD(N13-ROUNDDOWN(N13,0),0.5),0.25),0.125),0.0625)&gt;=0.03125,"1","0")&amp;IF(MOD(MOD(MOD(MOD(MOD(N13-ROUNDDOWN(N13,0),0.5),0.25),0.125),0.0625),0.03125)&gt;=0.015625,"1","0")&amp;IF(MOD(MOD(MOD(MOD(MOD(MOD(N13-ROUNDDOWN(N13,0),0.5),0.25),0.125),0.0625),0.03125),0.015625)&gt;=0.0078125,"1","0")&amp;IF(MOD(MOD(MOD(MOD(MOD(MOD(MOD(N13-ROUNDDOWN(N13,0),0.5),0.25),0.125),0.0625),0.03125),0.015625),0.0078125)&gt;=0.00390625,"1","0")&amp;IF(MOD(MOD(MOD(MOD(MOD(MOD(MOD(MOD(N13-ROUNDDOWN(N13,0),0.5),0.25),0.125),0.0625),0.03125),0.015625),0.0078125),0.00390625)&gt;=0.001953125,"1","0")&amp;IF(MOD(MOD(MOD(MOD(MOD(MOD(MOD(MOD(MOD(N13-ROUNDDOWN(N13,0),0.5),0.25),0.125),0.0625),0.03125),0.015625),0.0078125),0.00390625),0.001953125)&gt;=0.0009765625,"1","0")&amp;IF(MOD(MOD(MOD(MOD(MOD(MOD(MOD(MOD(MOD(MOD(N13-ROUNDDOWN(N13,0),0.5),0.25),0.125),0.0625),0.03125),0.015625),0.0078125),0.00390625),0.001953125),0.0009765625)&gt;=0.00048828125,"1","0")&amp;IF(MOD(MOD(MOD(MOD(MOD(MOD(MOD(MOD(MOD(MOD(MOD(N13-ROUNDDOWN(N13,0),0.5),0.25),0.125),0.0625),0.03125),0.015625),0.0078125),0.00390625),0.001953125),0.0009765625),0.00048828125)&gt;=0.000244140625,"1","0")&amp;IF(MOD(MOD(MOD(MOD(MOD(MOD(MOD(MOD(MOD(MOD(MOD(MOD(N13-ROUNDDOWN(N13,0),0.5),0.25),0.125),0.0625),0.03125),0.015625),0.0078125),0.00390625),0.001953125),0.0009765625),0.00048828125),0.000244140625)&gt;=0.0001220703125,"1","0")&amp;IF(MOD(MOD(MOD(MOD(MOD(MOD(MOD(MOD(MOD(MOD(MOD(MOD(MOD(N13-ROUNDDOWN(N13,0),0.5),0.25),0.125),0.0625),0.03125),0.015625),0.0078125),0.00390625),0.001953125),0.0009765625),0.00048828125),0.000244140625),0.0001220703125)&gt;=0.00006103515625,"1","0")&amp;IF(MOD(MOD(MOD(MOD(MOD(MOD(MOD(MOD(MOD(MOD(MOD(MOD(MOD(MOD(N13-ROUNDDOWN(N13,0),0.5),0.25),0.125),0.0625),0.03125),0.015625),0.0078125),0.00390625),0.001953125),0.0009765625),0.00048828125),0.000244140625),0.0001220703125),0.00006103515625)&gt;=0.000030517578125,"1","0")&amp;IF(MOD(MOD(MOD(MOD(MOD(MOD(MOD(MOD(MOD(MOD(MOD(MOD(MOD(MOD(MOD(N13-ROUNDDOWN(N13,0),0.5),0.25),0.125),0.0625),0.03125),0.015625),0.0078125),0.00390625),0.001953125),0.0009765625),0.00048828125),0.000244140625),0.0001220703125),0.00006103515625),0.000030517578125)&gt;=0.0000152587890625,"1","0")</f>
        <v>0100000001111010</v>
      </c>
      <c r="O36" s="26" t="str">
        <f t="shared" si="34"/>
        <v>0101011001110001</v>
      </c>
      <c r="P36" s="26" t="str">
        <f t="shared" si="34"/>
        <v>0101101111001001</v>
      </c>
      <c r="Q36" s="26" t="str">
        <f t="shared" si="34"/>
        <v>0100110010010010</v>
      </c>
      <c r="R36" s="26" t="str">
        <f t="shared" si="34"/>
        <v>0010011110110001</v>
      </c>
      <c r="S36" s="26" t="str">
        <f t="shared" si="34"/>
        <v>0100000000000000</v>
      </c>
      <c r="T36" s="26" t="str">
        <f t="shared" si="34"/>
        <v>0100100101100111</v>
      </c>
      <c r="U36" s="26" t="str">
        <f t="shared" si="34"/>
        <v>0101100100111100</v>
      </c>
      <c r="V36" s="26" t="str">
        <f t="shared" si="34"/>
        <v>0100111100001110</v>
      </c>
      <c r="W36" s="26" t="str">
        <f t="shared" si="34"/>
        <v>0101000000000000</v>
      </c>
      <c r="X36" s="26" t="str">
        <f t="shared" si="34"/>
        <v>0100110001111101</v>
      </c>
    </row>
    <row r="37">
      <c r="A37" s="6" t="str">
        <f t="shared" si="22"/>
        <v>I= 13 [A]</v>
      </c>
      <c r="B37" s="9">
        <v>1.0010111101101E14</v>
      </c>
      <c r="C37" s="9">
        <v>1.1010100111111E14</v>
      </c>
      <c r="D37" s="9">
        <v>1.0111101111101E14</v>
      </c>
      <c r="E37" s="9">
        <v>1.00110101011001E14</v>
      </c>
      <c r="F37" s="9">
        <v>1.010000101E13</v>
      </c>
      <c r="G37" s="9">
        <v>1.001110000001E14</v>
      </c>
      <c r="H37" s="9">
        <v>1.0101101111101E14</v>
      </c>
      <c r="I37" s="9">
        <v>1.10100111101E14</v>
      </c>
      <c r="J37" s="9">
        <v>1.01111010010001E14</v>
      </c>
      <c r="K37" s="9">
        <v>1.1000011000011E14</v>
      </c>
      <c r="L37" s="9">
        <v>1.011111111E14</v>
      </c>
      <c r="M37" s="6" t="str">
        <f t="shared" si="23"/>
        <v>I= 13 [A]</v>
      </c>
      <c r="N37" s="26" t="str">
        <f t="shared" ref="N37:X37" si="35">IF(N14-ROUNDDOWN(N14,0)&gt;=0.5,"1","0")&amp;IF(MOD(N14-ROUNDDOWN(N14,0),0.5)&gt;=0.25,"1","0")&amp;IF(MOD(MOD(N14-ROUNDDOWN(N14,0),0.5),0.25)&gt;=0.125,"1","0")&amp;IF(MOD(MOD(MOD(N14-ROUNDDOWN(N14,0),0.5),0.25),0.125)&gt;=0.0625,"1","0")&amp;IF(MOD(MOD(MOD(MOD(N14-ROUNDDOWN(N14,0),0.5),0.25),0.125),0.0625)&gt;=0.03125,"1","0")&amp;IF(MOD(MOD(MOD(MOD(MOD(N14-ROUNDDOWN(N14,0),0.5),0.25),0.125),0.0625),0.03125)&gt;=0.015625,"1","0")&amp;IF(MOD(MOD(MOD(MOD(MOD(MOD(N14-ROUNDDOWN(N14,0),0.5),0.25),0.125),0.0625),0.03125),0.015625)&gt;=0.0078125,"1","0")&amp;IF(MOD(MOD(MOD(MOD(MOD(MOD(MOD(N14-ROUNDDOWN(N14,0),0.5),0.25),0.125),0.0625),0.03125),0.015625),0.0078125)&gt;=0.00390625,"1","0")&amp;IF(MOD(MOD(MOD(MOD(MOD(MOD(MOD(MOD(N14-ROUNDDOWN(N14,0),0.5),0.25),0.125),0.0625),0.03125),0.015625),0.0078125),0.00390625)&gt;=0.001953125,"1","0")&amp;IF(MOD(MOD(MOD(MOD(MOD(MOD(MOD(MOD(MOD(N14-ROUNDDOWN(N14,0),0.5),0.25),0.125),0.0625),0.03125),0.015625),0.0078125),0.00390625),0.001953125)&gt;=0.0009765625,"1","0")&amp;IF(MOD(MOD(MOD(MOD(MOD(MOD(MOD(MOD(MOD(MOD(N14-ROUNDDOWN(N14,0),0.5),0.25),0.125),0.0625),0.03125),0.015625),0.0078125),0.00390625),0.001953125),0.0009765625)&gt;=0.00048828125,"1","0")&amp;IF(MOD(MOD(MOD(MOD(MOD(MOD(MOD(MOD(MOD(MOD(MOD(N14-ROUNDDOWN(N14,0),0.5),0.25),0.125),0.0625),0.03125),0.015625),0.0078125),0.00390625),0.001953125),0.0009765625),0.00048828125)&gt;=0.000244140625,"1","0")&amp;IF(MOD(MOD(MOD(MOD(MOD(MOD(MOD(MOD(MOD(MOD(MOD(MOD(N14-ROUNDDOWN(N14,0),0.5),0.25),0.125),0.0625),0.03125),0.015625),0.0078125),0.00390625),0.001953125),0.0009765625),0.00048828125),0.000244140625)&gt;=0.0001220703125,"1","0")&amp;IF(MOD(MOD(MOD(MOD(MOD(MOD(MOD(MOD(MOD(MOD(MOD(MOD(MOD(N14-ROUNDDOWN(N14,0),0.5),0.25),0.125),0.0625),0.03125),0.015625),0.0078125),0.00390625),0.001953125),0.0009765625),0.00048828125),0.000244140625),0.0001220703125)&gt;=0.00006103515625,"1","0")&amp;IF(MOD(MOD(MOD(MOD(MOD(MOD(MOD(MOD(MOD(MOD(MOD(MOD(MOD(MOD(N14-ROUNDDOWN(N14,0),0.5),0.25),0.125),0.0625),0.03125),0.015625),0.0078125),0.00390625),0.001953125),0.0009765625),0.00048828125),0.000244140625),0.0001220703125),0.00006103515625)&gt;=0.000030517578125,"1","0")&amp;IF(MOD(MOD(MOD(MOD(MOD(MOD(MOD(MOD(MOD(MOD(MOD(MOD(MOD(MOD(MOD(N14-ROUNDDOWN(N14,0),0.5),0.25),0.125),0.0625),0.03125),0.015625),0.0078125),0.00390625),0.001953125),0.0009765625),0.00048828125),0.000244140625),0.0001220703125),0.00006103515625),0.000030517578125)&gt;=0.0000152587890625,"1","0")</f>
        <v>0100101111011010</v>
      </c>
      <c r="O37" s="26" t="str">
        <f t="shared" si="35"/>
        <v>0110101001111110</v>
      </c>
      <c r="P37" s="26" t="str">
        <f t="shared" si="35"/>
        <v>0101111011111010</v>
      </c>
      <c r="Q37" s="26" t="str">
        <f t="shared" si="35"/>
        <v>0100110101011001</v>
      </c>
      <c r="R37" s="26" t="str">
        <f t="shared" si="35"/>
        <v>0010100001010000</v>
      </c>
      <c r="S37" s="26" t="str">
        <f t="shared" si="35"/>
        <v>0100111000000100</v>
      </c>
      <c r="T37" s="26" t="str">
        <f t="shared" si="35"/>
        <v>0101011011111010</v>
      </c>
      <c r="U37" s="26" t="str">
        <f t="shared" si="35"/>
        <v>0110100111101000</v>
      </c>
      <c r="V37" s="26" t="str">
        <f t="shared" si="35"/>
        <v>0101111010010001</v>
      </c>
      <c r="W37" s="26" t="str">
        <f t="shared" si="35"/>
        <v>0110000110000110</v>
      </c>
      <c r="X37" s="26" t="str">
        <f t="shared" si="35"/>
        <v>0101111111100000</v>
      </c>
    </row>
    <row r="38">
      <c r="A38" s="6" t="str">
        <f t="shared" si="22"/>
        <v>I= 14 [A]</v>
      </c>
      <c r="B38" s="9">
        <v>1.01000000101E14</v>
      </c>
      <c r="C38" s="9">
        <v>1.11001101000001E14</v>
      </c>
      <c r="D38" s="9">
        <v>1.10001011011001E14</v>
      </c>
      <c r="E38" s="9">
        <v>1.00111111111001E14</v>
      </c>
      <c r="F38" s="9">
        <v>1.01001001111E13</v>
      </c>
      <c r="G38" s="9">
        <v>1.1000011000011E14</v>
      </c>
      <c r="H38" s="9">
        <v>1.10101110010111E14</v>
      </c>
      <c r="I38" s="9">
        <v>1.11111101111011E14</v>
      </c>
      <c r="J38" s="9">
        <v>1.11011000110101E14</v>
      </c>
      <c r="K38" s="9">
        <v>1.11100111100111E14</v>
      </c>
      <c r="L38" s="9">
        <v>1.11010111110001E14</v>
      </c>
      <c r="M38" s="6" t="str">
        <f t="shared" si="23"/>
        <v>I= 14 [A]</v>
      </c>
      <c r="N38" s="26" t="str">
        <f t="shared" ref="N38:X38" si="36">IF(N15-ROUNDDOWN(N15,0)&gt;=0.5,"1","0")&amp;IF(MOD(N15-ROUNDDOWN(N15,0),0.5)&gt;=0.25,"1","0")&amp;IF(MOD(MOD(N15-ROUNDDOWN(N15,0),0.5),0.25)&gt;=0.125,"1","0")&amp;IF(MOD(MOD(MOD(N15-ROUNDDOWN(N15,0),0.5),0.25),0.125)&gt;=0.0625,"1","0")&amp;IF(MOD(MOD(MOD(MOD(N15-ROUNDDOWN(N15,0),0.5),0.25),0.125),0.0625)&gt;=0.03125,"1","0")&amp;IF(MOD(MOD(MOD(MOD(MOD(N15-ROUNDDOWN(N15,0),0.5),0.25),0.125),0.0625),0.03125)&gt;=0.015625,"1","0")&amp;IF(MOD(MOD(MOD(MOD(MOD(MOD(N15-ROUNDDOWN(N15,0),0.5),0.25),0.125),0.0625),0.03125),0.015625)&gt;=0.0078125,"1","0")&amp;IF(MOD(MOD(MOD(MOD(MOD(MOD(MOD(N15-ROUNDDOWN(N15,0),0.5),0.25),0.125),0.0625),0.03125),0.015625),0.0078125)&gt;=0.00390625,"1","0")&amp;IF(MOD(MOD(MOD(MOD(MOD(MOD(MOD(MOD(N15-ROUNDDOWN(N15,0),0.5),0.25),0.125),0.0625),0.03125),0.015625),0.0078125),0.00390625)&gt;=0.001953125,"1","0")&amp;IF(MOD(MOD(MOD(MOD(MOD(MOD(MOD(MOD(MOD(N15-ROUNDDOWN(N15,0),0.5),0.25),0.125),0.0625),0.03125),0.015625),0.0078125),0.00390625),0.001953125)&gt;=0.0009765625,"1","0")&amp;IF(MOD(MOD(MOD(MOD(MOD(MOD(MOD(MOD(MOD(MOD(N15-ROUNDDOWN(N15,0),0.5),0.25),0.125),0.0625),0.03125),0.015625),0.0078125),0.00390625),0.001953125),0.0009765625)&gt;=0.00048828125,"1","0")&amp;IF(MOD(MOD(MOD(MOD(MOD(MOD(MOD(MOD(MOD(MOD(MOD(N15-ROUNDDOWN(N15,0),0.5),0.25),0.125),0.0625),0.03125),0.015625),0.0078125),0.00390625),0.001953125),0.0009765625),0.00048828125)&gt;=0.000244140625,"1","0")&amp;IF(MOD(MOD(MOD(MOD(MOD(MOD(MOD(MOD(MOD(MOD(MOD(MOD(N15-ROUNDDOWN(N15,0),0.5),0.25),0.125),0.0625),0.03125),0.015625),0.0078125),0.00390625),0.001953125),0.0009765625),0.00048828125),0.000244140625)&gt;=0.0001220703125,"1","0")&amp;IF(MOD(MOD(MOD(MOD(MOD(MOD(MOD(MOD(MOD(MOD(MOD(MOD(MOD(N15-ROUNDDOWN(N15,0),0.5),0.25),0.125),0.0625),0.03125),0.015625),0.0078125),0.00390625),0.001953125),0.0009765625),0.00048828125),0.000244140625),0.0001220703125)&gt;=0.00006103515625,"1","0")&amp;IF(MOD(MOD(MOD(MOD(MOD(MOD(MOD(MOD(MOD(MOD(MOD(MOD(MOD(MOD(N15-ROUNDDOWN(N15,0),0.5),0.25),0.125),0.0625),0.03125),0.015625),0.0078125),0.00390625),0.001953125),0.0009765625),0.00048828125),0.000244140625),0.0001220703125),0.00006103515625)&gt;=0.000030517578125,"1","0")&amp;IF(MOD(MOD(MOD(MOD(MOD(MOD(MOD(MOD(MOD(MOD(MOD(MOD(MOD(MOD(MOD(N15-ROUNDDOWN(N15,0),0.5),0.25),0.125),0.0625),0.03125),0.015625),0.0078125),0.00390625),0.001953125),0.0009765625),0.00048828125),0.000244140625),0.0001220703125),0.00006103515625),0.000030517578125)&gt;=0.0000152587890625,"1","0")</f>
        <v>0101000000101000</v>
      </c>
      <c r="O38" s="26" t="str">
        <f t="shared" si="36"/>
        <v>0111001101000001</v>
      </c>
      <c r="P38" s="26" t="str">
        <f t="shared" si="36"/>
        <v>0110001011011001</v>
      </c>
      <c r="Q38" s="26" t="str">
        <f t="shared" si="36"/>
        <v>0100111111111001</v>
      </c>
      <c r="R38" s="26" t="str">
        <f t="shared" si="36"/>
        <v>0010100100111100</v>
      </c>
      <c r="S38" s="26" t="str">
        <f t="shared" si="36"/>
        <v>0110000110000110</v>
      </c>
      <c r="T38" s="26" t="str">
        <f t="shared" si="36"/>
        <v>0110101110010111</v>
      </c>
      <c r="U38" s="26" t="str">
        <f t="shared" si="36"/>
        <v>0111111101111011</v>
      </c>
      <c r="V38" s="26" t="str">
        <f t="shared" si="36"/>
        <v>0111011000110101</v>
      </c>
      <c r="W38" s="26" t="str">
        <f t="shared" si="36"/>
        <v>0111100111100111</v>
      </c>
      <c r="X38" s="26" t="str">
        <f t="shared" si="36"/>
        <v>0111010111110001</v>
      </c>
    </row>
    <row r="39">
      <c r="A39" s="6" t="str">
        <f t="shared" si="22"/>
        <v>I= 15 [A]</v>
      </c>
      <c r="B39" s="9">
        <v>1.01000011101E14</v>
      </c>
      <c r="C39" s="9">
        <v>1.1111001000111E14</v>
      </c>
      <c r="D39" s="9">
        <v>1.1000001001011E14</v>
      </c>
      <c r="E39" s="9">
        <v>1.111110011001E13</v>
      </c>
      <c r="F39" s="9">
        <v>1.01111110001E13</v>
      </c>
      <c r="G39" s="9">
        <v>1.1010101010101E13</v>
      </c>
      <c r="H39" s="9">
        <v>1.000100111101E14</v>
      </c>
      <c r="I39" s="9">
        <v>1.000000110001E14</v>
      </c>
      <c r="J39" s="9">
        <v>1.111111010011E13</v>
      </c>
      <c r="K39" s="9">
        <v>1.1111100110101E13</v>
      </c>
      <c r="L39" s="9">
        <v>1.1110111101011E13</v>
      </c>
      <c r="M39" s="6" t="str">
        <f t="shared" si="23"/>
        <v>I= 15 [A]</v>
      </c>
      <c r="N39" s="26" t="str">
        <f t="shared" ref="N39:X39" si="37">IF(N16-ROUNDDOWN(N16,0)&gt;=0.5,"1","0")&amp;IF(MOD(N16-ROUNDDOWN(N16,0),0.5)&gt;=0.25,"1","0")&amp;IF(MOD(MOD(N16-ROUNDDOWN(N16,0),0.5),0.25)&gt;=0.125,"1","0")&amp;IF(MOD(MOD(MOD(N16-ROUNDDOWN(N16,0),0.5),0.25),0.125)&gt;=0.0625,"1","0")&amp;IF(MOD(MOD(MOD(MOD(N16-ROUNDDOWN(N16,0),0.5),0.25),0.125),0.0625)&gt;=0.03125,"1","0")&amp;IF(MOD(MOD(MOD(MOD(MOD(N16-ROUNDDOWN(N16,0),0.5),0.25),0.125),0.0625),0.03125)&gt;=0.015625,"1","0")&amp;IF(MOD(MOD(MOD(MOD(MOD(MOD(N16-ROUNDDOWN(N16,0),0.5),0.25),0.125),0.0625),0.03125),0.015625)&gt;=0.0078125,"1","0")&amp;IF(MOD(MOD(MOD(MOD(MOD(MOD(MOD(N16-ROUNDDOWN(N16,0),0.5),0.25),0.125),0.0625),0.03125),0.015625),0.0078125)&gt;=0.00390625,"1","0")&amp;IF(MOD(MOD(MOD(MOD(MOD(MOD(MOD(MOD(N16-ROUNDDOWN(N16,0),0.5),0.25),0.125),0.0625),0.03125),0.015625),0.0078125),0.00390625)&gt;=0.001953125,"1","0")&amp;IF(MOD(MOD(MOD(MOD(MOD(MOD(MOD(MOD(MOD(N16-ROUNDDOWN(N16,0),0.5),0.25),0.125),0.0625),0.03125),0.015625),0.0078125),0.00390625),0.001953125)&gt;=0.0009765625,"1","0")&amp;IF(MOD(MOD(MOD(MOD(MOD(MOD(MOD(MOD(MOD(MOD(N16-ROUNDDOWN(N16,0),0.5),0.25),0.125),0.0625),0.03125),0.015625),0.0078125),0.00390625),0.001953125),0.0009765625)&gt;=0.00048828125,"1","0")&amp;IF(MOD(MOD(MOD(MOD(MOD(MOD(MOD(MOD(MOD(MOD(MOD(N16-ROUNDDOWN(N16,0),0.5),0.25),0.125),0.0625),0.03125),0.015625),0.0078125),0.00390625),0.001953125),0.0009765625),0.00048828125)&gt;=0.000244140625,"1","0")&amp;IF(MOD(MOD(MOD(MOD(MOD(MOD(MOD(MOD(MOD(MOD(MOD(MOD(N16-ROUNDDOWN(N16,0),0.5),0.25),0.125),0.0625),0.03125),0.015625),0.0078125),0.00390625),0.001953125),0.0009765625),0.00048828125),0.000244140625)&gt;=0.0001220703125,"1","0")&amp;IF(MOD(MOD(MOD(MOD(MOD(MOD(MOD(MOD(MOD(MOD(MOD(MOD(MOD(N16-ROUNDDOWN(N16,0),0.5),0.25),0.125),0.0625),0.03125),0.015625),0.0078125),0.00390625),0.001953125),0.0009765625),0.00048828125),0.000244140625),0.0001220703125)&gt;=0.00006103515625,"1","0")&amp;IF(MOD(MOD(MOD(MOD(MOD(MOD(MOD(MOD(MOD(MOD(MOD(MOD(MOD(MOD(N16-ROUNDDOWN(N16,0),0.5),0.25),0.125),0.0625),0.03125),0.015625),0.0078125),0.00390625),0.001953125),0.0009765625),0.00048828125),0.000244140625),0.0001220703125),0.00006103515625)&gt;=0.000030517578125,"1","0")&amp;IF(MOD(MOD(MOD(MOD(MOD(MOD(MOD(MOD(MOD(MOD(MOD(MOD(MOD(MOD(MOD(N16-ROUNDDOWN(N16,0),0.5),0.25),0.125),0.0625),0.03125),0.015625),0.0078125),0.00390625),0.001953125),0.0009765625),0.00048828125),0.000244140625),0.0001220703125),0.00006103515625),0.000030517578125)&gt;=0.0000152587890625,"1","0")</f>
        <v>0101000011101000</v>
      </c>
      <c r="O39" s="26" t="str">
        <f t="shared" si="37"/>
        <v>0111110010001110</v>
      </c>
      <c r="P39" s="26" t="str">
        <f t="shared" si="37"/>
        <v>0110000010010110</v>
      </c>
      <c r="Q39" s="26" t="str">
        <f t="shared" si="37"/>
        <v>0011111100110010</v>
      </c>
      <c r="R39" s="26" t="str">
        <f t="shared" si="37"/>
        <v>0010111111000100</v>
      </c>
      <c r="S39" s="26" t="str">
        <f t="shared" si="37"/>
        <v>0011010101010101</v>
      </c>
      <c r="T39" s="26" t="str">
        <f t="shared" si="37"/>
        <v>0100010011110100</v>
      </c>
      <c r="U39" s="26" t="str">
        <f t="shared" si="37"/>
        <v>0100000011000100</v>
      </c>
      <c r="V39" s="26" t="str">
        <f t="shared" si="37"/>
        <v>0011111110100110</v>
      </c>
      <c r="W39" s="26" t="str">
        <f t="shared" si="37"/>
        <v>0011111100110101</v>
      </c>
      <c r="X39" s="26" t="str">
        <f t="shared" si="37"/>
        <v>0011110111101011</v>
      </c>
    </row>
    <row r="40">
      <c r="A40" s="6" t="str">
        <f t="shared" si="22"/>
        <v>I= 16 [A]</v>
      </c>
      <c r="B40" s="9">
        <v>1.00110100011001E14</v>
      </c>
      <c r="C40" s="27" t="str">
        <f>"1000110111111110"</f>
        <v>1000110111111110</v>
      </c>
      <c r="D40" s="9">
        <v>1.1011010011101E14</v>
      </c>
      <c r="E40" s="9">
        <v>1.1100011100011E13</v>
      </c>
      <c r="F40" s="9">
        <v>1.1010000000011E13</v>
      </c>
      <c r="G40" s="9">
        <v>1.000111001111E14</v>
      </c>
      <c r="H40" s="9">
        <v>1.01001010111111E14</v>
      </c>
      <c r="I40" s="9">
        <v>1.0100000101E14</v>
      </c>
      <c r="J40" s="9">
        <v>1.010000000101E14</v>
      </c>
      <c r="K40" s="9">
        <v>1.011101000101E14</v>
      </c>
      <c r="L40" s="9">
        <v>1.01110001110111E14</v>
      </c>
      <c r="M40" s="6" t="str">
        <f t="shared" si="23"/>
        <v>I= 16 [A]</v>
      </c>
      <c r="N40" s="26" t="str">
        <f t="shared" ref="N40:X40" si="38">IF(N17-ROUNDDOWN(N17,0)&gt;=0.5,"1","0")&amp;IF(MOD(N17-ROUNDDOWN(N17,0),0.5)&gt;=0.25,"1","0")&amp;IF(MOD(MOD(N17-ROUNDDOWN(N17,0),0.5),0.25)&gt;=0.125,"1","0")&amp;IF(MOD(MOD(MOD(N17-ROUNDDOWN(N17,0),0.5),0.25),0.125)&gt;=0.0625,"1","0")&amp;IF(MOD(MOD(MOD(MOD(N17-ROUNDDOWN(N17,0),0.5),0.25),0.125),0.0625)&gt;=0.03125,"1","0")&amp;IF(MOD(MOD(MOD(MOD(MOD(N17-ROUNDDOWN(N17,0),0.5),0.25),0.125),0.0625),0.03125)&gt;=0.015625,"1","0")&amp;IF(MOD(MOD(MOD(MOD(MOD(MOD(N17-ROUNDDOWN(N17,0),0.5),0.25),0.125),0.0625),0.03125),0.015625)&gt;=0.0078125,"1","0")&amp;IF(MOD(MOD(MOD(MOD(MOD(MOD(MOD(N17-ROUNDDOWN(N17,0),0.5),0.25),0.125),0.0625),0.03125),0.015625),0.0078125)&gt;=0.00390625,"1","0")&amp;IF(MOD(MOD(MOD(MOD(MOD(MOD(MOD(MOD(N17-ROUNDDOWN(N17,0),0.5),0.25),0.125),0.0625),0.03125),0.015625),0.0078125),0.00390625)&gt;=0.001953125,"1","0")&amp;IF(MOD(MOD(MOD(MOD(MOD(MOD(MOD(MOD(MOD(N17-ROUNDDOWN(N17,0),0.5),0.25),0.125),0.0625),0.03125),0.015625),0.0078125),0.00390625),0.001953125)&gt;=0.0009765625,"1","0")&amp;IF(MOD(MOD(MOD(MOD(MOD(MOD(MOD(MOD(MOD(MOD(N17-ROUNDDOWN(N17,0),0.5),0.25),0.125),0.0625),0.03125),0.015625),0.0078125),0.00390625),0.001953125),0.0009765625)&gt;=0.00048828125,"1","0")&amp;IF(MOD(MOD(MOD(MOD(MOD(MOD(MOD(MOD(MOD(MOD(MOD(N17-ROUNDDOWN(N17,0),0.5),0.25),0.125),0.0625),0.03125),0.015625),0.0078125),0.00390625),0.001953125),0.0009765625),0.00048828125)&gt;=0.000244140625,"1","0")&amp;IF(MOD(MOD(MOD(MOD(MOD(MOD(MOD(MOD(MOD(MOD(MOD(MOD(N17-ROUNDDOWN(N17,0),0.5),0.25),0.125),0.0625),0.03125),0.015625),0.0078125),0.00390625),0.001953125),0.0009765625),0.00048828125),0.000244140625)&gt;=0.0001220703125,"1","0")&amp;IF(MOD(MOD(MOD(MOD(MOD(MOD(MOD(MOD(MOD(MOD(MOD(MOD(MOD(N17-ROUNDDOWN(N17,0),0.5),0.25),0.125),0.0625),0.03125),0.015625),0.0078125),0.00390625),0.001953125),0.0009765625),0.00048828125),0.000244140625),0.0001220703125)&gt;=0.00006103515625,"1","0")&amp;IF(MOD(MOD(MOD(MOD(MOD(MOD(MOD(MOD(MOD(MOD(MOD(MOD(MOD(MOD(N17-ROUNDDOWN(N17,0),0.5),0.25),0.125),0.0625),0.03125),0.015625),0.0078125),0.00390625),0.001953125),0.0009765625),0.00048828125),0.000244140625),0.0001220703125),0.00006103515625)&gt;=0.000030517578125,"1","0")&amp;IF(MOD(MOD(MOD(MOD(MOD(MOD(MOD(MOD(MOD(MOD(MOD(MOD(MOD(MOD(MOD(N17-ROUNDDOWN(N17,0),0.5),0.25),0.125),0.0625),0.03125),0.015625),0.0078125),0.00390625),0.001953125),0.0009765625),0.00048828125),0.000244140625),0.0001220703125),0.00006103515625),0.000030517578125)&gt;=0.0000152587890625,"1","0")</f>
        <v>0100110100011001</v>
      </c>
      <c r="O40" s="26" t="str">
        <f t="shared" si="38"/>
        <v>1000110111111110</v>
      </c>
      <c r="P40" s="26" t="str">
        <f t="shared" si="38"/>
        <v>0110110100111010</v>
      </c>
      <c r="Q40" s="26" t="str">
        <f t="shared" si="38"/>
        <v>0011100011100011</v>
      </c>
      <c r="R40" s="26" t="str">
        <f t="shared" si="38"/>
        <v>0011010000000011</v>
      </c>
      <c r="S40" s="26" t="str">
        <f t="shared" si="38"/>
        <v>0100011100111100</v>
      </c>
      <c r="T40" s="26" t="str">
        <f t="shared" si="38"/>
        <v>0101001010111111</v>
      </c>
      <c r="U40" s="26" t="str">
        <f t="shared" si="38"/>
        <v>0101000001010000</v>
      </c>
      <c r="V40" s="26" t="str">
        <f t="shared" si="38"/>
        <v>0101000000010100</v>
      </c>
      <c r="W40" s="26" t="str">
        <f t="shared" si="38"/>
        <v>0101110100010100</v>
      </c>
      <c r="X40" s="26" t="str">
        <f t="shared" si="38"/>
        <v>0101110001110111</v>
      </c>
    </row>
    <row r="41">
      <c r="A41" s="9"/>
      <c r="N41" s="26"/>
    </row>
    <row r="42">
      <c r="A42" s="9"/>
      <c r="N42" s="26"/>
    </row>
    <row r="43">
      <c r="A43" s="9"/>
      <c r="N43" s="26"/>
    </row>
    <row r="44">
      <c r="A44" s="9"/>
      <c r="N44" s="26"/>
    </row>
    <row r="45">
      <c r="A45" s="9"/>
      <c r="N45" s="26"/>
    </row>
    <row r="46">
      <c r="B46" s="23" t="str">
        <f t="shared" ref="B46:L46" si="39">"SOC = "&amp;10*(COLUMN()-2)&amp;" [%]"</f>
        <v>SOC = 0 [%]</v>
      </c>
      <c r="C46" s="23" t="str">
        <f t="shared" si="39"/>
        <v>SOC = 10 [%]</v>
      </c>
      <c r="D46" s="23" t="str">
        <f t="shared" si="39"/>
        <v>SOC = 20 [%]</v>
      </c>
      <c r="E46" s="23" t="str">
        <f t="shared" si="39"/>
        <v>SOC = 30 [%]</v>
      </c>
      <c r="F46" s="23" t="str">
        <f t="shared" si="39"/>
        <v>SOC = 40 [%]</v>
      </c>
      <c r="G46" s="23" t="str">
        <f t="shared" si="39"/>
        <v>SOC = 50 [%]</v>
      </c>
      <c r="H46" s="23" t="str">
        <f t="shared" si="39"/>
        <v>SOC = 60 [%]</v>
      </c>
      <c r="I46" s="23" t="str">
        <f t="shared" si="39"/>
        <v>SOC = 70 [%]</v>
      </c>
      <c r="J46" s="23" t="str">
        <f t="shared" si="39"/>
        <v>SOC = 80 [%]</v>
      </c>
      <c r="K46" s="23" t="str">
        <f t="shared" si="39"/>
        <v>SOC = 90 [%]</v>
      </c>
      <c r="L46" s="23" t="str">
        <f t="shared" si="39"/>
        <v>SOC = 100 [%]</v>
      </c>
      <c r="N46" s="23" t="str">
        <f t="shared" ref="N46:X46" si="40">"SOC = "&amp;10*(COLUMN()-14)&amp;" [%]"</f>
        <v>SOC = 0 [%]</v>
      </c>
      <c r="O46" s="23" t="str">
        <f t="shared" si="40"/>
        <v>SOC = 10 [%]</v>
      </c>
      <c r="P46" s="23" t="str">
        <f t="shared" si="40"/>
        <v>SOC = 20 [%]</v>
      </c>
      <c r="Q46" s="23" t="str">
        <f t="shared" si="40"/>
        <v>SOC = 30 [%]</v>
      </c>
      <c r="R46" s="23" t="str">
        <f t="shared" si="40"/>
        <v>SOC = 40 [%]</v>
      </c>
      <c r="S46" s="23" t="str">
        <f t="shared" si="40"/>
        <v>SOC = 50 [%]</v>
      </c>
      <c r="T46" s="23" t="str">
        <f t="shared" si="40"/>
        <v>SOC = 60 [%]</v>
      </c>
      <c r="U46" s="23" t="str">
        <f t="shared" si="40"/>
        <v>SOC = 70 [%]</v>
      </c>
      <c r="V46" s="23" t="str">
        <f t="shared" si="40"/>
        <v>SOC = 80 [%]</v>
      </c>
      <c r="W46" s="23" t="str">
        <f t="shared" si="40"/>
        <v>SOC = 90 [%]</v>
      </c>
      <c r="X46" s="23" t="str">
        <f t="shared" si="40"/>
        <v>SOC = 100 [%]</v>
      </c>
    </row>
    <row r="47">
      <c r="A47" s="6" t="str">
        <f t="shared" ref="A47:A62" si="43">"I= "&amp;1*(row()-46)&amp;" [A]"</f>
        <v>I= 1 [A]</v>
      </c>
      <c r="B47" s="10" t="str">
        <f t="shared" ref="B47:L47" si="41">REPT("0",16-LEN(B25)) &amp; B25</f>
        <v>0001100111011010</v>
      </c>
      <c r="C47" s="10" t="str">
        <f t="shared" si="41"/>
        <v>0010100011110101</v>
      </c>
      <c r="D47" s="10" t="str">
        <f t="shared" si="41"/>
        <v>0101000111101011</v>
      </c>
      <c r="E47" s="10" t="str">
        <f t="shared" si="41"/>
        <v>0101000011101000</v>
      </c>
      <c r="F47" s="10" t="str">
        <f t="shared" si="41"/>
        <v>0110001110101000</v>
      </c>
      <c r="G47" s="10" t="str">
        <f t="shared" si="41"/>
        <v>0110100110110100</v>
      </c>
      <c r="H47" s="10" t="str">
        <f t="shared" si="41"/>
        <v>0111000111000111</v>
      </c>
      <c r="I47" s="10" t="str">
        <f t="shared" si="41"/>
        <v>0110101100010101</v>
      </c>
      <c r="J47" s="10" t="str">
        <f t="shared" si="41"/>
        <v>0110001101001100</v>
      </c>
      <c r="K47" s="10" t="str">
        <f t="shared" si="41"/>
        <v>0101110100010111</v>
      </c>
      <c r="L47" s="10" t="str">
        <f t="shared" si="41"/>
        <v>0100101001001101</v>
      </c>
      <c r="M47" s="6" t="str">
        <f t="shared" ref="M47:M62" si="45">"I= "&amp;1*(row()-46)&amp;" [A]"</f>
        <v>I= 1 [A]</v>
      </c>
      <c r="N47" s="10" t="str">
        <f t="shared" ref="N47:X47" si="42">IF(B47=N25,"1", "0")</f>
        <v>1</v>
      </c>
      <c r="O47" s="10" t="str">
        <f t="shared" si="42"/>
        <v>1</v>
      </c>
      <c r="P47" s="10" t="str">
        <f t="shared" si="42"/>
        <v>1</v>
      </c>
      <c r="Q47" s="10" t="str">
        <f t="shared" si="42"/>
        <v>1</v>
      </c>
      <c r="R47" s="10" t="str">
        <f t="shared" si="42"/>
        <v>1</v>
      </c>
      <c r="S47" s="10" t="str">
        <f t="shared" si="42"/>
        <v>1</v>
      </c>
      <c r="T47" s="10" t="str">
        <f t="shared" si="42"/>
        <v>1</v>
      </c>
      <c r="U47" s="10" t="str">
        <f t="shared" si="42"/>
        <v>1</v>
      </c>
      <c r="V47" s="10" t="str">
        <f t="shared" si="42"/>
        <v>1</v>
      </c>
      <c r="W47" s="10" t="str">
        <f t="shared" si="42"/>
        <v>1</v>
      </c>
      <c r="X47" s="10" t="str">
        <f t="shared" si="42"/>
        <v>1</v>
      </c>
    </row>
    <row r="48">
      <c r="A48" s="6" t="str">
        <f t="shared" si="43"/>
        <v>I= 2 [A]</v>
      </c>
      <c r="B48" s="10" t="str">
        <f t="shared" ref="B48:L48" si="44">REPT("0",16-LEN(B26)) &amp; B26</f>
        <v>0001110101110110</v>
      </c>
      <c r="C48" s="10" t="str">
        <f t="shared" si="44"/>
        <v>0010011001111110</v>
      </c>
      <c r="D48" s="10" t="str">
        <f t="shared" si="44"/>
        <v>0100110011111100</v>
      </c>
      <c r="E48" s="10" t="str">
        <f t="shared" si="44"/>
        <v>0100110111000011</v>
      </c>
      <c r="F48" s="10" t="str">
        <f t="shared" si="44"/>
        <v>0011111000101010</v>
      </c>
      <c r="G48" s="10" t="str">
        <f t="shared" si="44"/>
        <v>0011110001110010</v>
      </c>
      <c r="H48" s="10" t="str">
        <f t="shared" si="44"/>
        <v>0100100001011110</v>
      </c>
      <c r="I48" s="10" t="str">
        <f t="shared" si="44"/>
        <v>0101001001011111</v>
      </c>
      <c r="J48" s="10" t="str">
        <f t="shared" si="44"/>
        <v>0100110011011100</v>
      </c>
      <c r="K48" s="10" t="str">
        <f t="shared" si="44"/>
        <v>0011100110001100</v>
      </c>
      <c r="L48" s="10" t="str">
        <f t="shared" si="44"/>
        <v>0011100011100111</v>
      </c>
      <c r="M48" s="6" t="str">
        <f t="shared" si="45"/>
        <v>I= 2 [A]</v>
      </c>
      <c r="N48" s="10" t="str">
        <f t="shared" ref="N48:X48" si="46">IF(B48=N26,"1", "0")</f>
        <v>1</v>
      </c>
      <c r="O48" s="10" t="str">
        <f t="shared" si="46"/>
        <v>1</v>
      </c>
      <c r="P48" s="10" t="str">
        <f t="shared" si="46"/>
        <v>1</v>
      </c>
      <c r="Q48" s="10" t="str">
        <f t="shared" si="46"/>
        <v>1</v>
      </c>
      <c r="R48" s="10" t="str">
        <f t="shared" si="46"/>
        <v>1</v>
      </c>
      <c r="S48" s="10" t="str">
        <f t="shared" si="46"/>
        <v>1</v>
      </c>
      <c r="T48" s="10" t="str">
        <f t="shared" si="46"/>
        <v>1</v>
      </c>
      <c r="U48" s="10" t="str">
        <f t="shared" si="46"/>
        <v>1</v>
      </c>
      <c r="V48" s="10" t="str">
        <f t="shared" si="46"/>
        <v>1</v>
      </c>
      <c r="W48" s="10" t="str">
        <f t="shared" si="46"/>
        <v>1</v>
      </c>
      <c r="X48" s="10" t="str">
        <f t="shared" si="46"/>
        <v>1</v>
      </c>
    </row>
    <row r="49">
      <c r="A49" s="6" t="str">
        <f t="shared" si="43"/>
        <v>I= 3 [A]</v>
      </c>
      <c r="B49" s="10" t="str">
        <f t="shared" ref="B49:L49" si="47">REPT("0",16-LEN(B27)) &amp; B27</f>
        <v>0001111011001100</v>
      </c>
      <c r="C49" s="10" t="str">
        <f t="shared" si="47"/>
        <v>0010001100001000</v>
      </c>
      <c r="D49" s="10" t="str">
        <f t="shared" si="47"/>
        <v>0101000011010111</v>
      </c>
      <c r="E49" s="10" t="str">
        <f t="shared" si="47"/>
        <v>0101011110010100</v>
      </c>
      <c r="F49" s="10" t="str">
        <f t="shared" si="47"/>
        <v>0010010001011010</v>
      </c>
      <c r="G49" s="10" t="str">
        <f t="shared" si="47"/>
        <v>0011100101111100</v>
      </c>
      <c r="H49" s="10" t="str">
        <f t="shared" si="47"/>
        <v>0100001100000000</v>
      </c>
      <c r="I49" s="10" t="str">
        <f t="shared" si="47"/>
        <v>0101001001111010</v>
      </c>
      <c r="J49" s="10" t="str">
        <f t="shared" si="47"/>
        <v>0100110000000100</v>
      </c>
      <c r="K49" s="10" t="str">
        <f t="shared" si="47"/>
        <v>0011101001000011</v>
      </c>
      <c r="L49" s="10" t="str">
        <f t="shared" si="47"/>
        <v>0011100000100111</v>
      </c>
      <c r="M49" s="6" t="str">
        <f t="shared" si="45"/>
        <v>I= 3 [A]</v>
      </c>
      <c r="N49" s="10" t="str">
        <f t="shared" ref="N49:X49" si="48">IF(B49=N27,"1", "0")</f>
        <v>1</v>
      </c>
      <c r="O49" s="10" t="str">
        <f t="shared" si="48"/>
        <v>1</v>
      </c>
      <c r="P49" s="10" t="str">
        <f t="shared" si="48"/>
        <v>1</v>
      </c>
      <c r="Q49" s="10" t="str">
        <f t="shared" si="48"/>
        <v>1</v>
      </c>
      <c r="R49" s="10" t="str">
        <f t="shared" si="48"/>
        <v>1</v>
      </c>
      <c r="S49" s="10" t="str">
        <f t="shared" si="48"/>
        <v>1</v>
      </c>
      <c r="T49" s="10" t="str">
        <f t="shared" si="48"/>
        <v>1</v>
      </c>
      <c r="U49" s="10" t="str">
        <f t="shared" si="48"/>
        <v>1</v>
      </c>
      <c r="V49" s="10" t="str">
        <f t="shared" si="48"/>
        <v>1</v>
      </c>
      <c r="W49" s="10" t="str">
        <f t="shared" si="48"/>
        <v>1</v>
      </c>
      <c r="X49" s="10" t="str">
        <f t="shared" si="48"/>
        <v>1</v>
      </c>
    </row>
    <row r="50">
      <c r="A50" s="6" t="str">
        <f t="shared" si="43"/>
        <v>I= 4 [A]</v>
      </c>
      <c r="B50" s="10" t="str">
        <f t="shared" ref="B50:L50" si="49">REPT("0",16-LEN(B28)) &amp; B28</f>
        <v>0001011110111110</v>
      </c>
      <c r="C50" s="10" t="str">
        <f t="shared" si="49"/>
        <v>0010101000010111</v>
      </c>
      <c r="D50" s="10" t="str">
        <f t="shared" si="49"/>
        <v>0110000001110110</v>
      </c>
      <c r="E50" s="10" t="str">
        <f t="shared" si="49"/>
        <v>0100100101111111</v>
      </c>
      <c r="F50" s="10" t="str">
        <f t="shared" si="49"/>
        <v>0010010101111000</v>
      </c>
      <c r="G50" s="10" t="str">
        <f t="shared" si="49"/>
        <v>0011100000111001</v>
      </c>
      <c r="H50" s="10" t="str">
        <f t="shared" si="49"/>
        <v>0011111011100000</v>
      </c>
      <c r="I50" s="10" t="str">
        <f t="shared" si="49"/>
        <v>0101001000000101</v>
      </c>
      <c r="J50" s="10" t="str">
        <f t="shared" si="49"/>
        <v>0100101101110100</v>
      </c>
      <c r="K50" s="10" t="str">
        <f t="shared" si="49"/>
        <v>0011101000011001</v>
      </c>
      <c r="L50" s="10" t="str">
        <f t="shared" si="49"/>
        <v>0011011111100100</v>
      </c>
      <c r="M50" s="6" t="str">
        <f t="shared" si="45"/>
        <v>I= 4 [A]</v>
      </c>
      <c r="N50" s="10" t="str">
        <f t="shared" ref="N50:X50" si="50">IF(B50=N28,"1", "0")</f>
        <v>1</v>
      </c>
      <c r="O50" s="10" t="str">
        <f t="shared" si="50"/>
        <v>1</v>
      </c>
      <c r="P50" s="10" t="str">
        <f t="shared" si="50"/>
        <v>1</v>
      </c>
      <c r="Q50" s="10" t="str">
        <f t="shared" si="50"/>
        <v>1</v>
      </c>
      <c r="R50" s="10" t="str">
        <f t="shared" si="50"/>
        <v>1</v>
      </c>
      <c r="S50" s="10" t="str">
        <f t="shared" si="50"/>
        <v>1</v>
      </c>
      <c r="T50" s="10" t="str">
        <f t="shared" si="50"/>
        <v>1</v>
      </c>
      <c r="U50" s="10" t="str">
        <f t="shared" si="50"/>
        <v>1</v>
      </c>
      <c r="V50" s="10" t="str">
        <f t="shared" si="50"/>
        <v>1</v>
      </c>
      <c r="W50" s="10" t="str">
        <f t="shared" si="50"/>
        <v>1</v>
      </c>
      <c r="X50" s="10" t="str">
        <f t="shared" si="50"/>
        <v>1</v>
      </c>
    </row>
    <row r="51">
      <c r="A51" s="6" t="str">
        <f t="shared" si="43"/>
        <v>I= 5 [A]</v>
      </c>
      <c r="B51" s="10" t="str">
        <f t="shared" ref="B51:L51" si="51">REPT("0",16-LEN(B29)) &amp; B29</f>
        <v>0001010110101100</v>
      </c>
      <c r="C51" s="10" t="str">
        <f t="shared" si="51"/>
        <v>0011001010110110</v>
      </c>
      <c r="D51" s="10" t="str">
        <f t="shared" si="51"/>
        <v>0111100010111110</v>
      </c>
      <c r="E51" s="10" t="str">
        <f t="shared" si="51"/>
        <v>0100011001101111</v>
      </c>
      <c r="F51" s="10" t="str">
        <f t="shared" si="51"/>
        <v>0010011001110100</v>
      </c>
      <c r="G51" s="10" t="str">
        <f t="shared" si="51"/>
        <v>0011011101011001</v>
      </c>
      <c r="H51" s="10" t="str">
        <f t="shared" si="51"/>
        <v>0011111001111010</v>
      </c>
      <c r="I51" s="10" t="str">
        <f t="shared" si="51"/>
        <v>0101000101100110</v>
      </c>
      <c r="J51" s="10" t="str">
        <f t="shared" si="51"/>
        <v>0100101101010100</v>
      </c>
      <c r="K51" s="10" t="str">
        <f t="shared" si="51"/>
        <v>0011101001000011</v>
      </c>
      <c r="L51" s="10" t="str">
        <f t="shared" si="51"/>
        <v>0011100000111010</v>
      </c>
      <c r="M51" s="6" t="str">
        <f t="shared" si="45"/>
        <v>I= 5 [A]</v>
      </c>
      <c r="N51" s="10" t="str">
        <f t="shared" ref="N51:X51" si="52">IF(B51=N29,"1", "0")</f>
        <v>1</v>
      </c>
      <c r="O51" s="10" t="str">
        <f t="shared" si="52"/>
        <v>1</v>
      </c>
      <c r="P51" s="10" t="str">
        <f t="shared" si="52"/>
        <v>1</v>
      </c>
      <c r="Q51" s="10" t="str">
        <f t="shared" si="52"/>
        <v>1</v>
      </c>
      <c r="R51" s="10" t="str">
        <f t="shared" si="52"/>
        <v>1</v>
      </c>
      <c r="S51" s="10" t="str">
        <f t="shared" si="52"/>
        <v>1</v>
      </c>
      <c r="T51" s="10" t="str">
        <f t="shared" si="52"/>
        <v>1</v>
      </c>
      <c r="U51" s="10" t="str">
        <f t="shared" si="52"/>
        <v>1</v>
      </c>
      <c r="V51" s="10" t="str">
        <f t="shared" si="52"/>
        <v>1</v>
      </c>
      <c r="W51" s="10" t="str">
        <f t="shared" si="52"/>
        <v>1</v>
      </c>
      <c r="X51" s="10" t="str">
        <f t="shared" si="52"/>
        <v>1</v>
      </c>
    </row>
    <row r="52">
      <c r="A52" s="6" t="str">
        <f t="shared" si="43"/>
        <v>I= 6 [A]</v>
      </c>
      <c r="B52" s="10" t="str">
        <f t="shared" ref="B52:L52" si="53">REPT("0",16-LEN(B30)) &amp; B30</f>
        <v>0001110000111111</v>
      </c>
      <c r="C52" s="10" t="str">
        <f t="shared" si="53"/>
        <v>0100010011011010</v>
      </c>
      <c r="D52" s="10" t="str">
        <f t="shared" si="53"/>
        <v>0111001011000010</v>
      </c>
      <c r="E52" s="10" t="str">
        <f t="shared" si="53"/>
        <v>0100100000000001</v>
      </c>
      <c r="F52" s="10" t="str">
        <f t="shared" si="53"/>
        <v>0010011100111001</v>
      </c>
      <c r="G52" s="10" t="str">
        <f t="shared" si="53"/>
        <v>0011011100111111</v>
      </c>
      <c r="H52" s="10" t="str">
        <f t="shared" si="53"/>
        <v>0011111001011000</v>
      </c>
      <c r="I52" s="10" t="str">
        <f t="shared" si="53"/>
        <v>0101000100111110</v>
      </c>
      <c r="J52" s="10" t="str">
        <f t="shared" si="53"/>
        <v>0100101000000110</v>
      </c>
      <c r="K52" s="10" t="str">
        <f t="shared" si="53"/>
        <v>0011101000100101</v>
      </c>
      <c r="L52" s="10" t="str">
        <f t="shared" si="53"/>
        <v>0011011111100001</v>
      </c>
      <c r="M52" s="6" t="str">
        <f t="shared" si="45"/>
        <v>I= 6 [A]</v>
      </c>
      <c r="N52" s="10" t="str">
        <f t="shared" ref="N52:X52" si="54">IF(B52=N30,"1", "0")</f>
        <v>1</v>
      </c>
      <c r="O52" s="10" t="str">
        <f t="shared" si="54"/>
        <v>1</v>
      </c>
      <c r="P52" s="10" t="str">
        <f t="shared" si="54"/>
        <v>1</v>
      </c>
      <c r="Q52" s="10" t="str">
        <f t="shared" si="54"/>
        <v>1</v>
      </c>
      <c r="R52" s="10" t="str">
        <f t="shared" si="54"/>
        <v>1</v>
      </c>
      <c r="S52" s="10" t="str">
        <f t="shared" si="54"/>
        <v>1</v>
      </c>
      <c r="T52" s="10" t="str">
        <f t="shared" si="54"/>
        <v>1</v>
      </c>
      <c r="U52" s="10" t="str">
        <f t="shared" si="54"/>
        <v>1</v>
      </c>
      <c r="V52" s="10" t="str">
        <f t="shared" si="54"/>
        <v>1</v>
      </c>
      <c r="W52" s="10" t="str">
        <f t="shared" si="54"/>
        <v>1</v>
      </c>
      <c r="X52" s="10" t="str">
        <f t="shared" si="54"/>
        <v>1</v>
      </c>
    </row>
    <row r="53">
      <c r="A53" s="6" t="str">
        <f t="shared" si="43"/>
        <v>I= 7 [A]</v>
      </c>
      <c r="B53" s="10" t="str">
        <f t="shared" ref="B53:L53" si="55">REPT("0",16-LEN(B31)) &amp; B31</f>
        <v>0010001001011001</v>
      </c>
      <c r="C53" s="10" t="str">
        <f t="shared" si="55"/>
        <v>0100010101001001</v>
      </c>
      <c r="D53" s="10" t="str">
        <f t="shared" si="55"/>
        <v>0110101110100100</v>
      </c>
      <c r="E53" s="10" t="str">
        <f t="shared" si="55"/>
        <v>0100101111010011</v>
      </c>
      <c r="F53" s="10" t="str">
        <f t="shared" si="55"/>
        <v>0010100000101101</v>
      </c>
      <c r="G53" s="10" t="str">
        <f t="shared" si="55"/>
        <v>0011011110000000</v>
      </c>
      <c r="H53" s="10" t="str">
        <f t="shared" si="55"/>
        <v>0011110111011011</v>
      </c>
      <c r="I53" s="10" t="str">
        <f t="shared" si="55"/>
        <v>0101000011010001</v>
      </c>
      <c r="J53" s="10" t="str">
        <f t="shared" si="55"/>
        <v>0100100110001101</v>
      </c>
      <c r="K53" s="10" t="str">
        <f t="shared" si="55"/>
        <v>0011101000001100</v>
      </c>
      <c r="L53" s="10" t="str">
        <f t="shared" si="55"/>
        <v>0011011101001101</v>
      </c>
      <c r="M53" s="6" t="str">
        <f t="shared" si="45"/>
        <v>I= 7 [A]</v>
      </c>
      <c r="N53" s="10" t="str">
        <f t="shared" ref="N53:X53" si="56">IF(B53=N31,"1", "0")</f>
        <v>1</v>
      </c>
      <c r="O53" s="10" t="str">
        <f t="shared" si="56"/>
        <v>1</v>
      </c>
      <c r="P53" s="10" t="str">
        <f t="shared" si="56"/>
        <v>1</v>
      </c>
      <c r="Q53" s="10" t="str">
        <f t="shared" si="56"/>
        <v>1</v>
      </c>
      <c r="R53" s="10" t="str">
        <f t="shared" si="56"/>
        <v>1</v>
      </c>
      <c r="S53" s="10" t="str">
        <f t="shared" si="56"/>
        <v>1</v>
      </c>
      <c r="T53" s="10" t="str">
        <f t="shared" si="56"/>
        <v>1</v>
      </c>
      <c r="U53" s="10" t="str">
        <f t="shared" si="56"/>
        <v>1</v>
      </c>
      <c r="V53" s="10" t="str">
        <f t="shared" si="56"/>
        <v>1</v>
      </c>
      <c r="W53" s="10" t="str">
        <f t="shared" si="56"/>
        <v>1</v>
      </c>
      <c r="X53" s="10" t="str">
        <f t="shared" si="56"/>
        <v>1</v>
      </c>
    </row>
    <row r="54">
      <c r="A54" s="6" t="str">
        <f t="shared" si="43"/>
        <v>I= 8 [A]</v>
      </c>
      <c r="B54" s="10" t="str">
        <f t="shared" ref="B54:L54" si="57">REPT("0",16-LEN(B32)) &amp; B32</f>
        <v>0010100000101000</v>
      </c>
      <c r="C54" s="10" t="str">
        <f t="shared" si="57"/>
        <v>0100100111110100</v>
      </c>
      <c r="D54" s="10" t="str">
        <f t="shared" si="57"/>
        <v>0110011111111111</v>
      </c>
      <c r="E54" s="10" t="str">
        <f t="shared" si="57"/>
        <v>0101000010101101</v>
      </c>
      <c r="F54" s="10" t="str">
        <f t="shared" si="57"/>
        <v>0010100110011010</v>
      </c>
      <c r="G54" s="10" t="str">
        <f t="shared" si="57"/>
        <v>0011011011110110</v>
      </c>
      <c r="H54" s="10" t="str">
        <f t="shared" si="57"/>
        <v>0011110111001111</v>
      </c>
      <c r="I54" s="10" t="str">
        <f t="shared" si="57"/>
        <v>0100111111111101</v>
      </c>
      <c r="J54" s="10" t="str">
        <f t="shared" si="57"/>
        <v>0100100000111110</v>
      </c>
      <c r="K54" s="10" t="str">
        <f t="shared" si="57"/>
        <v>0011100101011101</v>
      </c>
      <c r="L54" s="10" t="str">
        <f t="shared" si="57"/>
        <v>0011011010111000</v>
      </c>
      <c r="M54" s="6" t="str">
        <f t="shared" si="45"/>
        <v>I= 8 [A]</v>
      </c>
      <c r="N54" s="10" t="str">
        <f t="shared" ref="N54:X54" si="58">IF(B54=N32,"1", "0")</f>
        <v>1</v>
      </c>
      <c r="O54" s="10" t="str">
        <f t="shared" si="58"/>
        <v>1</v>
      </c>
      <c r="P54" s="10" t="str">
        <f t="shared" si="58"/>
        <v>0</v>
      </c>
      <c r="Q54" s="10" t="str">
        <f t="shared" si="58"/>
        <v>1</v>
      </c>
      <c r="R54" s="10" t="str">
        <f t="shared" si="58"/>
        <v>1</v>
      </c>
      <c r="S54" s="10" t="str">
        <f t="shared" si="58"/>
        <v>1</v>
      </c>
      <c r="T54" s="10" t="str">
        <f t="shared" si="58"/>
        <v>1</v>
      </c>
      <c r="U54" s="10" t="str">
        <f t="shared" si="58"/>
        <v>1</v>
      </c>
      <c r="V54" s="10" t="str">
        <f t="shared" si="58"/>
        <v>1</v>
      </c>
      <c r="W54" s="10" t="str">
        <f t="shared" si="58"/>
        <v>1</v>
      </c>
      <c r="X54" s="10" t="str">
        <f t="shared" si="58"/>
        <v>1</v>
      </c>
    </row>
    <row r="55">
      <c r="A55" s="6" t="str">
        <f t="shared" si="43"/>
        <v>I= 9 [A]</v>
      </c>
      <c r="B55" s="10" t="str">
        <f t="shared" ref="B55:L55" si="59">REPT("0",16-LEN(B33)) &amp; B33</f>
        <v>0010111010001011</v>
      </c>
      <c r="C55" s="10" t="str">
        <f t="shared" si="59"/>
        <v>0100100010011100</v>
      </c>
      <c r="D55" s="10" t="str">
        <f t="shared" si="59"/>
        <v>0110101011000111</v>
      </c>
      <c r="E55" s="10" t="str">
        <f t="shared" si="59"/>
        <v>0101010011101100</v>
      </c>
      <c r="F55" s="10" t="str">
        <f t="shared" si="59"/>
        <v>0010101000101111</v>
      </c>
      <c r="G55" s="10" t="str">
        <f t="shared" si="59"/>
        <v>0011010110101010</v>
      </c>
      <c r="H55" s="10" t="str">
        <f t="shared" si="59"/>
        <v>0011110001010100</v>
      </c>
      <c r="I55" s="10" t="str">
        <f t="shared" si="59"/>
        <v>0100110110010001</v>
      </c>
      <c r="J55" s="10" t="str">
        <f t="shared" si="59"/>
        <v>0100011110111000</v>
      </c>
      <c r="K55" s="10" t="str">
        <f t="shared" si="59"/>
        <v>0011101010010001</v>
      </c>
      <c r="L55" s="10" t="str">
        <f t="shared" si="59"/>
        <v>0011011111010000</v>
      </c>
      <c r="M55" s="6" t="str">
        <f t="shared" si="45"/>
        <v>I= 9 [A]</v>
      </c>
      <c r="N55" s="10" t="str">
        <f t="shared" ref="N55:X55" si="60">IF(B55=N33,"1", "0")</f>
        <v>1</v>
      </c>
      <c r="O55" s="10" t="str">
        <f t="shared" si="60"/>
        <v>1</v>
      </c>
      <c r="P55" s="10" t="str">
        <f t="shared" si="60"/>
        <v>1</v>
      </c>
      <c r="Q55" s="10" t="str">
        <f t="shared" si="60"/>
        <v>1</v>
      </c>
      <c r="R55" s="10" t="str">
        <f t="shared" si="60"/>
        <v>1</v>
      </c>
      <c r="S55" s="10" t="str">
        <f t="shared" si="60"/>
        <v>1</v>
      </c>
      <c r="T55" s="10" t="str">
        <f t="shared" si="60"/>
        <v>1</v>
      </c>
      <c r="U55" s="10" t="str">
        <f t="shared" si="60"/>
        <v>1</v>
      </c>
      <c r="V55" s="10" t="str">
        <f t="shared" si="60"/>
        <v>1</v>
      </c>
      <c r="W55" s="10" t="str">
        <f t="shared" si="60"/>
        <v>1</v>
      </c>
      <c r="X55" s="10" t="str">
        <f t="shared" si="60"/>
        <v>1</v>
      </c>
    </row>
    <row r="56">
      <c r="A56" s="6" t="str">
        <f t="shared" si="43"/>
        <v>I= 10 [A]</v>
      </c>
      <c r="B56" s="10" t="str">
        <f t="shared" ref="B56:L56" si="61">REPT("0",16-LEN(B34)) &amp; B34</f>
        <v>0011011010011101</v>
      </c>
      <c r="C56" s="10" t="str">
        <f t="shared" si="61"/>
        <v>0100001010001111</v>
      </c>
      <c r="D56" s="10" t="str">
        <f t="shared" si="61"/>
        <v>0110010100110110</v>
      </c>
      <c r="E56" s="10" t="str">
        <f t="shared" si="61"/>
        <v>0100110000010110</v>
      </c>
      <c r="F56" s="10" t="str">
        <f t="shared" si="61"/>
        <v>0010011110010001</v>
      </c>
      <c r="G56" s="10" t="str">
        <f t="shared" si="61"/>
        <v>0011011100010010</v>
      </c>
      <c r="H56" s="10" t="str">
        <f t="shared" si="61"/>
        <v>0011111000010100</v>
      </c>
      <c r="I56" s="10" t="str">
        <f t="shared" si="61"/>
        <v>0101001001110110</v>
      </c>
      <c r="J56" s="10" t="str">
        <f t="shared" si="61"/>
        <v>0100100111101111</v>
      </c>
      <c r="K56" s="10" t="str">
        <f t="shared" si="61"/>
        <v>0011110101110110</v>
      </c>
      <c r="L56" s="10" t="str">
        <f t="shared" si="61"/>
        <v>0011110100110001</v>
      </c>
      <c r="M56" s="6" t="str">
        <f t="shared" si="45"/>
        <v>I= 10 [A]</v>
      </c>
      <c r="N56" s="10" t="str">
        <f t="shared" ref="N56:X56" si="62">IF(B56=N34,"1", "0")</f>
        <v>1</v>
      </c>
      <c r="O56" s="10" t="str">
        <f t="shared" si="62"/>
        <v>1</v>
      </c>
      <c r="P56" s="10" t="str">
        <f t="shared" si="62"/>
        <v>1</v>
      </c>
      <c r="Q56" s="10" t="str">
        <f t="shared" si="62"/>
        <v>1</v>
      </c>
      <c r="R56" s="10" t="str">
        <f t="shared" si="62"/>
        <v>1</v>
      </c>
      <c r="S56" s="10" t="str">
        <f t="shared" si="62"/>
        <v>1</v>
      </c>
      <c r="T56" s="10" t="str">
        <f t="shared" si="62"/>
        <v>1</v>
      </c>
      <c r="U56" s="10" t="str">
        <f t="shared" si="62"/>
        <v>1</v>
      </c>
      <c r="V56" s="10" t="str">
        <f t="shared" si="62"/>
        <v>1</v>
      </c>
      <c r="W56" s="10" t="str">
        <f t="shared" si="62"/>
        <v>1</v>
      </c>
      <c r="X56" s="10" t="str">
        <f t="shared" si="62"/>
        <v>1</v>
      </c>
    </row>
    <row r="57">
      <c r="A57" s="6" t="str">
        <f t="shared" si="43"/>
        <v>I= 11 [A]</v>
      </c>
      <c r="B57" s="10" t="str">
        <f t="shared" ref="B57:L57" si="63">REPT("0",16-LEN(B35)) &amp; B35</f>
        <v>0011100011100011</v>
      </c>
      <c r="C57" s="10" t="str">
        <f t="shared" si="63"/>
        <v>0011111101100011</v>
      </c>
      <c r="D57" s="10" t="str">
        <f t="shared" si="63"/>
        <v>0101110101011011</v>
      </c>
      <c r="E57" s="10" t="str">
        <f t="shared" si="63"/>
        <v>0100101100111010</v>
      </c>
      <c r="F57" s="10" t="str">
        <f t="shared" si="63"/>
        <v>0010011110000011</v>
      </c>
      <c r="G57" s="10" t="str">
        <f t="shared" si="63"/>
        <v>0011100101100101</v>
      </c>
      <c r="H57" s="10" t="str">
        <f t="shared" si="63"/>
        <v>0100000101001000</v>
      </c>
      <c r="I57" s="10" t="str">
        <f t="shared" si="63"/>
        <v>0101001101110001</v>
      </c>
      <c r="J57" s="10" t="str">
        <f t="shared" si="63"/>
        <v>0100101100111001</v>
      </c>
      <c r="K57" s="10" t="str">
        <f t="shared" si="63"/>
        <v>0100010011110100</v>
      </c>
      <c r="L57" s="10" t="str">
        <f t="shared" si="63"/>
        <v>0100000010101001</v>
      </c>
      <c r="M57" s="6" t="str">
        <f t="shared" si="45"/>
        <v>I= 11 [A]</v>
      </c>
      <c r="N57" s="10" t="str">
        <f t="shared" ref="N57:X57" si="64">IF(B57=N35,"1", "0")</f>
        <v>1</v>
      </c>
      <c r="O57" s="10" t="str">
        <f t="shared" si="64"/>
        <v>1</v>
      </c>
      <c r="P57" s="10" t="str">
        <f t="shared" si="64"/>
        <v>1</v>
      </c>
      <c r="Q57" s="10" t="str">
        <f t="shared" si="64"/>
        <v>1</v>
      </c>
      <c r="R57" s="10" t="str">
        <f t="shared" si="64"/>
        <v>1</v>
      </c>
      <c r="S57" s="10" t="str">
        <f t="shared" si="64"/>
        <v>1</v>
      </c>
      <c r="T57" s="10" t="str">
        <f t="shared" si="64"/>
        <v>1</v>
      </c>
      <c r="U57" s="10" t="str">
        <f t="shared" si="64"/>
        <v>1</v>
      </c>
      <c r="V57" s="10" t="str">
        <f t="shared" si="64"/>
        <v>1</v>
      </c>
      <c r="W57" s="10" t="str">
        <f t="shared" si="64"/>
        <v>1</v>
      </c>
      <c r="X57" s="10" t="str">
        <f t="shared" si="64"/>
        <v>1</v>
      </c>
    </row>
    <row r="58">
      <c r="A58" s="6" t="str">
        <f t="shared" si="43"/>
        <v>I= 12 [A]</v>
      </c>
      <c r="B58" s="10" t="str">
        <f t="shared" ref="B58:L58" si="65">REPT("0",16-LEN(B36)) &amp; B36</f>
        <v>0100000001111010</v>
      </c>
      <c r="C58" s="10" t="str">
        <f t="shared" si="65"/>
        <v>0101011001110001</v>
      </c>
      <c r="D58" s="10" t="str">
        <f t="shared" si="65"/>
        <v>0101101111001001</v>
      </c>
      <c r="E58" s="10" t="str">
        <f t="shared" si="65"/>
        <v>0100110010010010</v>
      </c>
      <c r="F58" s="10" t="str">
        <f t="shared" si="65"/>
        <v>0010011110110001</v>
      </c>
      <c r="G58" s="10" t="str">
        <f t="shared" si="65"/>
        <v>0100000000000000</v>
      </c>
      <c r="H58" s="10" t="str">
        <f t="shared" si="65"/>
        <v>0100100101100111</v>
      </c>
      <c r="I58" s="10" t="str">
        <f t="shared" si="65"/>
        <v>0101100100111100</v>
      </c>
      <c r="J58" s="10" t="str">
        <f t="shared" si="65"/>
        <v>0100111100001110</v>
      </c>
      <c r="K58" s="10" t="str">
        <f t="shared" si="65"/>
        <v>0101000000000000</v>
      </c>
      <c r="L58" s="10" t="str">
        <f t="shared" si="65"/>
        <v>0100110001111101</v>
      </c>
      <c r="M58" s="6" t="str">
        <f t="shared" si="45"/>
        <v>I= 12 [A]</v>
      </c>
      <c r="N58" s="10" t="str">
        <f t="shared" ref="N58:X58" si="66">IF(B58=N36,"1", "0")</f>
        <v>1</v>
      </c>
      <c r="O58" s="10" t="str">
        <f t="shared" si="66"/>
        <v>1</v>
      </c>
      <c r="P58" s="10" t="str">
        <f t="shared" si="66"/>
        <v>1</v>
      </c>
      <c r="Q58" s="10" t="str">
        <f t="shared" si="66"/>
        <v>1</v>
      </c>
      <c r="R58" s="10" t="str">
        <f t="shared" si="66"/>
        <v>1</v>
      </c>
      <c r="S58" s="10" t="str">
        <f t="shared" si="66"/>
        <v>1</v>
      </c>
      <c r="T58" s="10" t="str">
        <f t="shared" si="66"/>
        <v>1</v>
      </c>
      <c r="U58" s="10" t="str">
        <f t="shared" si="66"/>
        <v>1</v>
      </c>
      <c r="V58" s="10" t="str">
        <f t="shared" si="66"/>
        <v>1</v>
      </c>
      <c r="W58" s="10" t="str">
        <f t="shared" si="66"/>
        <v>1</v>
      </c>
      <c r="X58" s="10" t="str">
        <f t="shared" si="66"/>
        <v>1</v>
      </c>
    </row>
    <row r="59">
      <c r="A59" s="6" t="str">
        <f t="shared" si="43"/>
        <v>I= 13 [A]</v>
      </c>
      <c r="B59" s="10" t="str">
        <f t="shared" ref="B59:L59" si="67">REPT("0",16-LEN(B37)) &amp; B37</f>
        <v>0100101111011010</v>
      </c>
      <c r="C59" s="10" t="str">
        <f t="shared" si="67"/>
        <v>0110101001111110</v>
      </c>
      <c r="D59" s="10" t="str">
        <f t="shared" si="67"/>
        <v>0101111011111010</v>
      </c>
      <c r="E59" s="10" t="str">
        <f t="shared" si="67"/>
        <v>0100110101011001</v>
      </c>
      <c r="F59" s="10" t="str">
        <f t="shared" si="67"/>
        <v>0010100001010000</v>
      </c>
      <c r="G59" s="10" t="str">
        <f t="shared" si="67"/>
        <v>0100111000000100</v>
      </c>
      <c r="H59" s="10" t="str">
        <f t="shared" si="67"/>
        <v>0101011011111010</v>
      </c>
      <c r="I59" s="10" t="str">
        <f t="shared" si="67"/>
        <v>0110100111101000</v>
      </c>
      <c r="J59" s="10" t="str">
        <f t="shared" si="67"/>
        <v>0101111010010001</v>
      </c>
      <c r="K59" s="10" t="str">
        <f t="shared" si="67"/>
        <v>0110000110000110</v>
      </c>
      <c r="L59" s="10" t="str">
        <f t="shared" si="67"/>
        <v>0101111111100000</v>
      </c>
      <c r="M59" s="6" t="str">
        <f t="shared" si="45"/>
        <v>I= 13 [A]</v>
      </c>
      <c r="N59" s="10" t="str">
        <f t="shared" ref="N59:X59" si="68">IF(B59=N37,"1", "0")</f>
        <v>1</v>
      </c>
      <c r="O59" s="10" t="str">
        <f t="shared" si="68"/>
        <v>1</v>
      </c>
      <c r="P59" s="10" t="str">
        <f t="shared" si="68"/>
        <v>1</v>
      </c>
      <c r="Q59" s="10" t="str">
        <f t="shared" si="68"/>
        <v>1</v>
      </c>
      <c r="R59" s="10" t="str">
        <f t="shared" si="68"/>
        <v>1</v>
      </c>
      <c r="S59" s="10" t="str">
        <f t="shared" si="68"/>
        <v>1</v>
      </c>
      <c r="T59" s="10" t="str">
        <f t="shared" si="68"/>
        <v>1</v>
      </c>
      <c r="U59" s="10" t="str">
        <f t="shared" si="68"/>
        <v>1</v>
      </c>
      <c r="V59" s="10" t="str">
        <f t="shared" si="68"/>
        <v>1</v>
      </c>
      <c r="W59" s="10" t="str">
        <f t="shared" si="68"/>
        <v>1</v>
      </c>
      <c r="X59" s="10" t="str">
        <f t="shared" si="68"/>
        <v>1</v>
      </c>
    </row>
    <row r="60">
      <c r="A60" s="6" t="str">
        <f t="shared" si="43"/>
        <v>I= 14 [A]</v>
      </c>
      <c r="B60" s="10" t="str">
        <f t="shared" ref="B60:L60" si="69">REPT("0",16-LEN(B38)) &amp; B38</f>
        <v>0101000000101000</v>
      </c>
      <c r="C60" s="10" t="str">
        <f t="shared" si="69"/>
        <v>0111001101000001</v>
      </c>
      <c r="D60" s="10" t="str">
        <f t="shared" si="69"/>
        <v>0110001011011001</v>
      </c>
      <c r="E60" s="10" t="str">
        <f t="shared" si="69"/>
        <v>0100111111111001</v>
      </c>
      <c r="F60" s="10" t="str">
        <f t="shared" si="69"/>
        <v>0010100100111100</v>
      </c>
      <c r="G60" s="10" t="str">
        <f t="shared" si="69"/>
        <v>0110000110000110</v>
      </c>
      <c r="H60" s="10" t="str">
        <f t="shared" si="69"/>
        <v>0110101110010111</v>
      </c>
      <c r="I60" s="10" t="str">
        <f t="shared" si="69"/>
        <v>0111111101111011</v>
      </c>
      <c r="J60" s="10" t="str">
        <f t="shared" si="69"/>
        <v>0111011000110101</v>
      </c>
      <c r="K60" s="10" t="str">
        <f t="shared" si="69"/>
        <v>0111100111100111</v>
      </c>
      <c r="L60" s="10" t="str">
        <f t="shared" si="69"/>
        <v>0111010111110001</v>
      </c>
      <c r="M60" s="6" t="str">
        <f t="shared" si="45"/>
        <v>I= 14 [A]</v>
      </c>
      <c r="N60" s="10" t="str">
        <f t="shared" ref="N60:X60" si="70">IF(B60=N38,"1", "0")</f>
        <v>1</v>
      </c>
      <c r="O60" s="10" t="str">
        <f t="shared" si="70"/>
        <v>1</v>
      </c>
      <c r="P60" s="10" t="str">
        <f t="shared" si="70"/>
        <v>1</v>
      </c>
      <c r="Q60" s="10" t="str">
        <f t="shared" si="70"/>
        <v>1</v>
      </c>
      <c r="R60" s="10" t="str">
        <f t="shared" si="70"/>
        <v>1</v>
      </c>
      <c r="S60" s="10" t="str">
        <f t="shared" si="70"/>
        <v>1</v>
      </c>
      <c r="T60" s="10" t="str">
        <f t="shared" si="70"/>
        <v>1</v>
      </c>
      <c r="U60" s="10" t="str">
        <f t="shared" si="70"/>
        <v>1</v>
      </c>
      <c r="V60" s="10" t="str">
        <f t="shared" si="70"/>
        <v>1</v>
      </c>
      <c r="W60" s="10" t="str">
        <f t="shared" si="70"/>
        <v>1</v>
      </c>
      <c r="X60" s="10" t="str">
        <f t="shared" si="70"/>
        <v>1</v>
      </c>
    </row>
    <row r="61">
      <c r="A61" s="6" t="str">
        <f t="shared" si="43"/>
        <v>I= 15 [A]</v>
      </c>
      <c r="B61" s="10" t="str">
        <f t="shared" ref="B61:L61" si="71">REPT("0",16-LEN(B39)) &amp; B39</f>
        <v>0101000011101000</v>
      </c>
      <c r="C61" s="10" t="str">
        <f t="shared" si="71"/>
        <v>0111110010001110</v>
      </c>
      <c r="D61" s="10" t="str">
        <f t="shared" si="71"/>
        <v>0110000010010110</v>
      </c>
      <c r="E61" s="10" t="str">
        <f t="shared" si="71"/>
        <v>0011111100110010</v>
      </c>
      <c r="F61" s="10" t="str">
        <f t="shared" si="71"/>
        <v>0010111111000100</v>
      </c>
      <c r="G61" s="10" t="str">
        <f t="shared" si="71"/>
        <v>0011010101010101</v>
      </c>
      <c r="H61" s="10" t="str">
        <f t="shared" si="71"/>
        <v>0100010011110100</v>
      </c>
      <c r="I61" s="10" t="str">
        <f t="shared" si="71"/>
        <v>0100000011000100</v>
      </c>
      <c r="J61" s="10" t="str">
        <f t="shared" si="71"/>
        <v>0011111110100110</v>
      </c>
      <c r="K61" s="10" t="str">
        <f t="shared" si="71"/>
        <v>0011111100110101</v>
      </c>
      <c r="L61" s="10" t="str">
        <f t="shared" si="71"/>
        <v>0011110111101011</v>
      </c>
      <c r="M61" s="6" t="str">
        <f t="shared" si="45"/>
        <v>I= 15 [A]</v>
      </c>
      <c r="N61" s="10" t="str">
        <f t="shared" ref="N61:X61" si="72">IF(B61=N39,"1", "0")</f>
        <v>1</v>
      </c>
      <c r="O61" s="10" t="str">
        <f t="shared" si="72"/>
        <v>1</v>
      </c>
      <c r="P61" s="10" t="str">
        <f t="shared" si="72"/>
        <v>1</v>
      </c>
      <c r="Q61" s="10" t="str">
        <f t="shared" si="72"/>
        <v>1</v>
      </c>
      <c r="R61" s="10" t="str">
        <f t="shared" si="72"/>
        <v>1</v>
      </c>
      <c r="S61" s="10" t="str">
        <f t="shared" si="72"/>
        <v>1</v>
      </c>
      <c r="T61" s="10" t="str">
        <f t="shared" si="72"/>
        <v>1</v>
      </c>
      <c r="U61" s="10" t="str">
        <f t="shared" si="72"/>
        <v>1</v>
      </c>
      <c r="V61" s="10" t="str">
        <f t="shared" si="72"/>
        <v>1</v>
      </c>
      <c r="W61" s="10" t="str">
        <f t="shared" si="72"/>
        <v>1</v>
      </c>
      <c r="X61" s="10" t="str">
        <f t="shared" si="72"/>
        <v>1</v>
      </c>
    </row>
    <row r="62">
      <c r="A62" s="6" t="str">
        <f t="shared" si="43"/>
        <v>I= 16 [A]</v>
      </c>
      <c r="B62" s="10" t="str">
        <f t="shared" ref="B62:L62" si="73">REPT("0",16-LEN(B40)) &amp; B40</f>
        <v>0100110100011001</v>
      </c>
      <c r="C62" s="10" t="str">
        <f t="shared" si="73"/>
        <v>1000110111111110</v>
      </c>
      <c r="D62" s="10" t="str">
        <f t="shared" si="73"/>
        <v>0110110100111010</v>
      </c>
      <c r="E62" s="10" t="str">
        <f t="shared" si="73"/>
        <v>0011100011100011</v>
      </c>
      <c r="F62" s="10" t="str">
        <f t="shared" si="73"/>
        <v>0011010000000011</v>
      </c>
      <c r="G62" s="10" t="str">
        <f t="shared" si="73"/>
        <v>0100011100111100</v>
      </c>
      <c r="H62" s="10" t="str">
        <f t="shared" si="73"/>
        <v>0101001010111111</v>
      </c>
      <c r="I62" s="10" t="str">
        <f t="shared" si="73"/>
        <v>0101000001010000</v>
      </c>
      <c r="J62" s="10" t="str">
        <f t="shared" si="73"/>
        <v>0101000000010100</v>
      </c>
      <c r="K62" s="10" t="str">
        <f t="shared" si="73"/>
        <v>0101110100010100</v>
      </c>
      <c r="L62" s="10" t="str">
        <f t="shared" si="73"/>
        <v>0101110001110111</v>
      </c>
      <c r="M62" s="6" t="str">
        <f t="shared" si="45"/>
        <v>I= 16 [A]</v>
      </c>
      <c r="N62" s="10" t="str">
        <f t="shared" ref="N62:X62" si="74">IF(B62=N40,"1", "0")</f>
        <v>1</v>
      </c>
      <c r="O62" s="10" t="str">
        <f t="shared" si="74"/>
        <v>1</v>
      </c>
      <c r="P62" s="10" t="str">
        <f t="shared" si="74"/>
        <v>1</v>
      </c>
      <c r="Q62" s="10" t="str">
        <f t="shared" si="74"/>
        <v>1</v>
      </c>
      <c r="R62" s="10" t="str">
        <f t="shared" si="74"/>
        <v>1</v>
      </c>
      <c r="S62" s="10" t="str">
        <f t="shared" si="74"/>
        <v>1</v>
      </c>
      <c r="T62" s="10" t="str">
        <f t="shared" si="74"/>
        <v>1</v>
      </c>
      <c r="U62" s="10" t="str">
        <f t="shared" si="74"/>
        <v>1</v>
      </c>
      <c r="V62" s="10" t="str">
        <f t="shared" si="74"/>
        <v>1</v>
      </c>
      <c r="W62" s="10" t="str">
        <f t="shared" si="74"/>
        <v>1</v>
      </c>
      <c r="X62" s="10" t="str">
        <f t="shared" si="74"/>
        <v>1</v>
      </c>
    </row>
    <row r="63">
      <c r="A63" s="6"/>
    </row>
    <row r="79">
      <c r="N79" s="26" t="s">
        <v>101</v>
      </c>
    </row>
    <row r="80">
      <c r="N80" s="10" t="s">
        <v>102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/>
      <c r="B1" s="23" t="str">
        <f t="shared" ref="B1:L1" si="1">"SOC = "&amp;10*(COLUMN()-2)&amp;" [%]"</f>
        <v>SOC = 0 [%]</v>
      </c>
      <c r="C1" s="23" t="str">
        <f t="shared" si="1"/>
        <v>SOC = 10 [%]</v>
      </c>
      <c r="D1" s="23" t="str">
        <f t="shared" si="1"/>
        <v>SOC = 20 [%]</v>
      </c>
      <c r="E1" s="23" t="str">
        <f t="shared" si="1"/>
        <v>SOC = 30 [%]</v>
      </c>
      <c r="F1" s="23" t="str">
        <f t="shared" si="1"/>
        <v>SOC = 40 [%]</v>
      </c>
      <c r="G1" s="23" t="str">
        <f t="shared" si="1"/>
        <v>SOC = 50 [%]</v>
      </c>
      <c r="H1" s="23" t="str">
        <f t="shared" si="1"/>
        <v>SOC = 60 [%]</v>
      </c>
      <c r="I1" s="23" t="str">
        <f t="shared" si="1"/>
        <v>SOC = 70 [%]</v>
      </c>
      <c r="J1" s="23" t="str">
        <f t="shared" si="1"/>
        <v>SOC = 80 [%]</v>
      </c>
      <c r="K1" s="23" t="str">
        <f t="shared" si="1"/>
        <v>SOC = 90 [%]</v>
      </c>
      <c r="L1" s="23" t="str">
        <f t="shared" si="1"/>
        <v>SOC = 100 [%]</v>
      </c>
    </row>
    <row r="2">
      <c r="A2" s="23" t="str">
        <f t="shared" ref="A2:A17" si="2">"I= "&amp;1*(row()-1)&amp;" [A]"</f>
        <v>I= 1 [A]</v>
      </c>
      <c r="B2" s="22">
        <f>0.65*150</f>
        <v>97.5</v>
      </c>
      <c r="C2" s="22">
        <v>50.0</v>
      </c>
      <c r="D2" s="22">
        <v>20.0</v>
      </c>
      <c r="E2" s="22">
        <v>15.0</v>
      </c>
      <c r="F2" s="22">
        <v>12.0</v>
      </c>
      <c r="G2" s="22">
        <v>10.0</v>
      </c>
      <c r="H2" s="22">
        <v>9.0</v>
      </c>
      <c r="I2" s="22">
        <v>8.5</v>
      </c>
      <c r="J2" s="22">
        <v>8.25</v>
      </c>
      <c r="K2" s="22">
        <v>8.0</v>
      </c>
      <c r="L2" s="22">
        <v>7.875</v>
      </c>
    </row>
    <row r="3">
      <c r="A3" s="23" t="str">
        <f t="shared" si="2"/>
        <v>I= 2 [A]</v>
      </c>
      <c r="B3" s="22">
        <v>83.0</v>
      </c>
      <c r="C3" s="22">
        <f t="shared" ref="C3:F3" si="3">B3*(C2/B2)</f>
        <v>42.56410256</v>
      </c>
      <c r="D3" s="22">
        <f t="shared" si="3"/>
        <v>17.02564103</v>
      </c>
      <c r="E3" s="22">
        <f t="shared" si="3"/>
        <v>12.76923077</v>
      </c>
      <c r="F3" s="22">
        <f t="shared" si="3"/>
        <v>10.21538462</v>
      </c>
      <c r="G3" s="22">
        <v>9.75</v>
      </c>
      <c r="H3" s="22">
        <f t="shared" ref="H3:L3" si="4">G3*(H2/G2)</f>
        <v>8.775</v>
      </c>
      <c r="I3" s="22">
        <f t="shared" si="4"/>
        <v>8.2875</v>
      </c>
      <c r="J3" s="22">
        <f t="shared" si="4"/>
        <v>8.04375</v>
      </c>
      <c r="K3" s="22">
        <f t="shared" si="4"/>
        <v>7.8</v>
      </c>
      <c r="L3" s="22">
        <f t="shared" si="4"/>
        <v>7.678125</v>
      </c>
      <c r="T3" s="9" t="s">
        <v>103</v>
      </c>
    </row>
    <row r="4">
      <c r="A4" s="23" t="str">
        <f t="shared" si="2"/>
        <v>I= 3 [A]</v>
      </c>
      <c r="B4" s="22">
        <v>76.0</v>
      </c>
      <c r="C4" s="22">
        <f t="shared" ref="C4:E4" si="5">B4*(C3/B3)</f>
        <v>38.97435897</v>
      </c>
      <c r="D4" s="22">
        <f t="shared" si="5"/>
        <v>15.58974359</v>
      </c>
      <c r="E4" s="22">
        <f t="shared" si="5"/>
        <v>11.69230769</v>
      </c>
      <c r="F4" s="22">
        <f t="shared" ref="F4:F15" si="8">E4+5</f>
        <v>16.69230769</v>
      </c>
      <c r="G4" s="22">
        <v>9.5</v>
      </c>
      <c r="H4" s="22">
        <f t="shared" ref="H4:L4" si="6">G4*(H3/G3)</f>
        <v>8.55</v>
      </c>
      <c r="I4" s="22">
        <f t="shared" si="6"/>
        <v>8.075</v>
      </c>
      <c r="J4" s="22">
        <f t="shared" si="6"/>
        <v>7.8375</v>
      </c>
      <c r="K4" s="22">
        <f t="shared" si="6"/>
        <v>7.6</v>
      </c>
      <c r="L4" s="22">
        <f t="shared" si="6"/>
        <v>7.48125</v>
      </c>
    </row>
    <row r="5">
      <c r="A5" s="23" t="str">
        <f t="shared" si="2"/>
        <v>I= 4 [A]</v>
      </c>
      <c r="B5" s="22">
        <v>69.0</v>
      </c>
      <c r="C5" s="22">
        <f t="shared" ref="C5:E5" si="7">B5*(C4/B4)</f>
        <v>35.38461538</v>
      </c>
      <c r="D5" s="22">
        <f t="shared" si="7"/>
        <v>14.15384615</v>
      </c>
      <c r="E5" s="22">
        <f t="shared" si="7"/>
        <v>10.61538462</v>
      </c>
      <c r="F5" s="22">
        <f t="shared" si="8"/>
        <v>15.61538462</v>
      </c>
      <c r="G5" s="22">
        <v>9.4</v>
      </c>
      <c r="H5" s="22">
        <f t="shared" ref="H5:L5" si="9">G5*(H4/G4)</f>
        <v>8.46</v>
      </c>
      <c r="I5" s="22">
        <f t="shared" si="9"/>
        <v>7.99</v>
      </c>
      <c r="J5" s="22">
        <f t="shared" si="9"/>
        <v>7.755</v>
      </c>
      <c r="K5" s="22">
        <f t="shared" si="9"/>
        <v>7.52</v>
      </c>
      <c r="L5" s="22">
        <f t="shared" si="9"/>
        <v>7.4025</v>
      </c>
    </row>
    <row r="6">
      <c r="A6" s="23" t="str">
        <f t="shared" si="2"/>
        <v>I= 5 [A]</v>
      </c>
      <c r="B6" s="22">
        <v>63.0</v>
      </c>
      <c r="C6" s="22">
        <f t="shared" ref="C6:E6" si="10">B6*(C5/B5)</f>
        <v>32.30769231</v>
      </c>
      <c r="D6" s="22">
        <f t="shared" si="10"/>
        <v>12.92307692</v>
      </c>
      <c r="E6" s="22">
        <f t="shared" si="10"/>
        <v>9.692307692</v>
      </c>
      <c r="F6" s="22">
        <f t="shared" si="8"/>
        <v>14.69230769</v>
      </c>
      <c r="G6" s="22">
        <v>9.25</v>
      </c>
      <c r="H6" s="22">
        <f t="shared" ref="H6:L6" si="11">G6*(H5/G5)</f>
        <v>8.325</v>
      </c>
      <c r="I6" s="22">
        <f t="shared" si="11"/>
        <v>7.8625</v>
      </c>
      <c r="J6" s="22">
        <f t="shared" si="11"/>
        <v>7.63125</v>
      </c>
      <c r="K6" s="22">
        <f t="shared" si="11"/>
        <v>7.4</v>
      </c>
      <c r="L6" s="22">
        <f t="shared" si="11"/>
        <v>7.284375</v>
      </c>
    </row>
    <row r="7">
      <c r="A7" s="23" t="str">
        <f t="shared" si="2"/>
        <v>I= 6 [A]</v>
      </c>
      <c r="B7" s="22">
        <v>58.0</v>
      </c>
      <c r="C7" s="22">
        <f t="shared" ref="C7:E7" si="12">B7*(C6/B6)</f>
        <v>29.74358974</v>
      </c>
      <c r="D7" s="22">
        <f t="shared" si="12"/>
        <v>11.8974359</v>
      </c>
      <c r="E7" s="22">
        <f t="shared" si="12"/>
        <v>8.923076923</v>
      </c>
      <c r="F7" s="22">
        <f t="shared" si="8"/>
        <v>13.92307692</v>
      </c>
      <c r="G7" s="22">
        <v>9.125</v>
      </c>
      <c r="H7" s="22">
        <f t="shared" ref="H7:L7" si="13">G7*(H6/G6)</f>
        <v>8.2125</v>
      </c>
      <c r="I7" s="22">
        <f t="shared" si="13"/>
        <v>7.75625</v>
      </c>
      <c r="J7" s="22">
        <f t="shared" si="13"/>
        <v>7.528125</v>
      </c>
      <c r="K7" s="22">
        <f t="shared" si="13"/>
        <v>7.3</v>
      </c>
      <c r="L7" s="22">
        <f t="shared" si="13"/>
        <v>7.1859375</v>
      </c>
    </row>
    <row r="8">
      <c r="A8" s="23" t="str">
        <f t="shared" si="2"/>
        <v>I= 7 [A]</v>
      </c>
      <c r="B8" s="22">
        <v>53.0</v>
      </c>
      <c r="C8" s="22">
        <f t="shared" ref="C8:E8" si="14">B8*(C7/B7)</f>
        <v>27.17948718</v>
      </c>
      <c r="D8" s="22">
        <f t="shared" si="14"/>
        <v>10.87179487</v>
      </c>
      <c r="E8" s="22">
        <f t="shared" si="14"/>
        <v>8.153846154</v>
      </c>
      <c r="F8" s="22">
        <f t="shared" si="8"/>
        <v>13.15384615</v>
      </c>
      <c r="G8" s="22">
        <v>9.0</v>
      </c>
      <c r="H8" s="22">
        <f t="shared" ref="H8:L8" si="15">G8*(H7/G7)</f>
        <v>8.1</v>
      </c>
      <c r="I8" s="22">
        <f t="shared" si="15"/>
        <v>7.65</v>
      </c>
      <c r="J8" s="22">
        <f t="shared" si="15"/>
        <v>7.425</v>
      </c>
      <c r="K8" s="22">
        <f t="shared" si="15"/>
        <v>7.2</v>
      </c>
      <c r="L8" s="22">
        <f t="shared" si="15"/>
        <v>7.0875</v>
      </c>
    </row>
    <row r="9">
      <c r="A9" s="23" t="str">
        <f t="shared" si="2"/>
        <v>I= 8 [A]</v>
      </c>
      <c r="B9" s="22">
        <v>48.0</v>
      </c>
      <c r="C9" s="22">
        <f t="shared" ref="C9:E9" si="16">B9*(C8/B8)</f>
        <v>24.61538462</v>
      </c>
      <c r="D9" s="22">
        <f t="shared" si="16"/>
        <v>9.846153846</v>
      </c>
      <c r="E9" s="22">
        <f t="shared" si="16"/>
        <v>7.384615385</v>
      </c>
      <c r="F9" s="22">
        <f t="shared" si="8"/>
        <v>12.38461538</v>
      </c>
      <c r="G9" s="22">
        <v>8.925</v>
      </c>
      <c r="H9" s="22">
        <f t="shared" ref="H9:L9" si="17">G9*(H8/G8)</f>
        <v>8.0325</v>
      </c>
      <c r="I9" s="22">
        <f t="shared" si="17"/>
        <v>7.58625</v>
      </c>
      <c r="J9" s="22">
        <f t="shared" si="17"/>
        <v>7.363125</v>
      </c>
      <c r="K9" s="22">
        <f t="shared" si="17"/>
        <v>7.14</v>
      </c>
      <c r="L9" s="22">
        <f t="shared" si="17"/>
        <v>7.0284375</v>
      </c>
    </row>
    <row r="10">
      <c r="A10" s="23" t="str">
        <f t="shared" si="2"/>
        <v>I= 9 [A]</v>
      </c>
      <c r="B10" s="22">
        <v>44.0</v>
      </c>
      <c r="C10" s="22">
        <f t="shared" ref="C10:E10" si="18">B10*(C9/B9)</f>
        <v>22.56410256</v>
      </c>
      <c r="D10" s="22">
        <f t="shared" si="18"/>
        <v>9.025641026</v>
      </c>
      <c r="E10" s="22">
        <f t="shared" si="18"/>
        <v>6.769230769</v>
      </c>
      <c r="F10" s="22">
        <f t="shared" si="8"/>
        <v>11.76923077</v>
      </c>
      <c r="G10" s="22">
        <v>8.875</v>
      </c>
      <c r="H10" s="22">
        <f t="shared" ref="H10:L10" si="19">G10*(H9/G9)</f>
        <v>7.9875</v>
      </c>
      <c r="I10" s="22">
        <f t="shared" si="19"/>
        <v>7.54375</v>
      </c>
      <c r="J10" s="22">
        <f t="shared" si="19"/>
        <v>7.321875</v>
      </c>
      <c r="K10" s="22">
        <f t="shared" si="19"/>
        <v>7.1</v>
      </c>
      <c r="L10" s="22">
        <f t="shared" si="19"/>
        <v>6.9890625</v>
      </c>
    </row>
    <row r="11">
      <c r="A11" s="23" t="str">
        <f t="shared" si="2"/>
        <v>I= 10 [A]</v>
      </c>
      <c r="B11" s="22">
        <v>40.0</v>
      </c>
      <c r="C11" s="22">
        <f t="shared" ref="C11:C17" si="21">B11*(C10/B10)</f>
        <v>20.51282051</v>
      </c>
      <c r="D11" s="22">
        <v>9.25</v>
      </c>
      <c r="E11" s="22">
        <v>7.25</v>
      </c>
      <c r="F11" s="22">
        <f t="shared" si="8"/>
        <v>12.25</v>
      </c>
      <c r="G11" s="22">
        <v>8.5</v>
      </c>
      <c r="H11" s="22">
        <f t="shared" ref="H11:L11" si="20">G11*(H10/G10)</f>
        <v>7.65</v>
      </c>
      <c r="I11" s="22">
        <f t="shared" si="20"/>
        <v>7.225</v>
      </c>
      <c r="J11" s="22">
        <f t="shared" si="20"/>
        <v>7.0125</v>
      </c>
      <c r="K11" s="22">
        <f t="shared" si="20"/>
        <v>6.8</v>
      </c>
      <c r="L11" s="22">
        <f t="shared" si="20"/>
        <v>6.69375</v>
      </c>
    </row>
    <row r="12">
      <c r="A12" s="23" t="str">
        <f t="shared" si="2"/>
        <v>I= 11 [A]</v>
      </c>
      <c r="B12" s="22">
        <v>36.0</v>
      </c>
      <c r="C12" s="22">
        <f t="shared" si="21"/>
        <v>18.46153846</v>
      </c>
      <c r="D12" s="22">
        <v>9.75</v>
      </c>
      <c r="E12" s="22">
        <f t="shared" ref="E12:E15" si="23">D12*(E11/D11)</f>
        <v>7.641891892</v>
      </c>
      <c r="F12" s="22">
        <f t="shared" si="8"/>
        <v>12.64189189</v>
      </c>
      <c r="G12" s="22">
        <v>8.25</v>
      </c>
      <c r="H12" s="22">
        <f t="shared" ref="H12:L12" si="22">G12*(H11/G11)</f>
        <v>7.425</v>
      </c>
      <c r="I12" s="22">
        <f t="shared" si="22"/>
        <v>7.0125</v>
      </c>
      <c r="J12" s="22">
        <f t="shared" si="22"/>
        <v>6.80625</v>
      </c>
      <c r="K12" s="22">
        <f t="shared" si="22"/>
        <v>6.6</v>
      </c>
      <c r="L12" s="22">
        <f t="shared" si="22"/>
        <v>6.496875</v>
      </c>
    </row>
    <row r="13">
      <c r="A13" s="23" t="str">
        <f t="shared" si="2"/>
        <v>I= 12 [A]</v>
      </c>
      <c r="B13" s="22">
        <v>33.0</v>
      </c>
      <c r="C13" s="22">
        <f t="shared" si="21"/>
        <v>16.92307692</v>
      </c>
      <c r="D13" s="22">
        <v>10.5</v>
      </c>
      <c r="E13" s="22">
        <f t="shared" si="23"/>
        <v>8.22972973</v>
      </c>
      <c r="F13" s="22">
        <f t="shared" si="8"/>
        <v>13.22972973</v>
      </c>
      <c r="G13" s="22">
        <v>8.0</v>
      </c>
      <c r="H13" s="22">
        <f t="shared" ref="H13:L13" si="24">G13*(H12/G12)</f>
        <v>7.2</v>
      </c>
      <c r="I13" s="22">
        <f t="shared" si="24"/>
        <v>6.8</v>
      </c>
      <c r="J13" s="22">
        <f t="shared" si="24"/>
        <v>6.6</v>
      </c>
      <c r="K13" s="22">
        <f t="shared" si="24"/>
        <v>6.4</v>
      </c>
      <c r="L13" s="22">
        <f t="shared" si="24"/>
        <v>6.3</v>
      </c>
    </row>
    <row r="14">
      <c r="A14" s="23" t="str">
        <f t="shared" si="2"/>
        <v>I= 13 [A]</v>
      </c>
      <c r="B14" s="22">
        <v>30.0</v>
      </c>
      <c r="C14" s="22">
        <f t="shared" si="21"/>
        <v>15.38461538</v>
      </c>
      <c r="D14" s="22">
        <v>11.5</v>
      </c>
      <c r="E14" s="22">
        <f t="shared" si="23"/>
        <v>9.013513514</v>
      </c>
      <c r="F14" s="22">
        <f t="shared" si="8"/>
        <v>14.01351351</v>
      </c>
      <c r="G14" s="22">
        <v>7.0</v>
      </c>
      <c r="H14" s="22">
        <f t="shared" ref="H14:L14" si="25">G14*(H13/G13)</f>
        <v>6.3</v>
      </c>
      <c r="I14" s="22">
        <f t="shared" si="25"/>
        <v>5.95</v>
      </c>
      <c r="J14" s="22">
        <f t="shared" si="25"/>
        <v>5.775</v>
      </c>
      <c r="K14" s="22">
        <f t="shared" si="25"/>
        <v>5.6</v>
      </c>
      <c r="L14" s="22">
        <f t="shared" si="25"/>
        <v>5.5125</v>
      </c>
    </row>
    <row r="15">
      <c r="A15" s="23" t="str">
        <f t="shared" si="2"/>
        <v>I= 14 [A]</v>
      </c>
      <c r="B15" s="22">
        <v>28.0</v>
      </c>
      <c r="C15" s="22">
        <f t="shared" si="21"/>
        <v>14.35897436</v>
      </c>
      <c r="D15" s="22">
        <v>12.75</v>
      </c>
      <c r="E15" s="22">
        <f t="shared" si="23"/>
        <v>9.993243243</v>
      </c>
      <c r="F15" s="22">
        <f t="shared" si="8"/>
        <v>14.99324324</v>
      </c>
      <c r="G15" s="22">
        <v>6.0</v>
      </c>
      <c r="H15" s="22">
        <f t="shared" ref="H15:L15" si="26">G15*(H14/G14)</f>
        <v>5.4</v>
      </c>
      <c r="I15" s="22">
        <f t="shared" si="26"/>
        <v>5.1</v>
      </c>
      <c r="J15" s="22">
        <f t="shared" si="26"/>
        <v>4.95</v>
      </c>
      <c r="K15" s="22">
        <f t="shared" si="26"/>
        <v>4.8</v>
      </c>
      <c r="L15" s="22">
        <f t="shared" si="26"/>
        <v>4.725</v>
      </c>
    </row>
    <row r="16">
      <c r="A16" s="23" t="str">
        <f t="shared" si="2"/>
        <v>I= 15 [A]</v>
      </c>
      <c r="B16" s="22">
        <v>27.0</v>
      </c>
      <c r="C16" s="22">
        <f t="shared" si="21"/>
        <v>13.84615385</v>
      </c>
      <c r="D16" s="22">
        <v>14.75</v>
      </c>
      <c r="E16" s="22">
        <v>15.25</v>
      </c>
      <c r="F16" s="22">
        <v>14.0</v>
      </c>
      <c r="G16" s="22">
        <v>12.0</v>
      </c>
      <c r="H16" s="22">
        <f t="shared" ref="H16:L16" si="27">G16*(H15/G15)</f>
        <v>10.8</v>
      </c>
      <c r="I16" s="22">
        <f t="shared" si="27"/>
        <v>10.2</v>
      </c>
      <c r="J16" s="22">
        <f t="shared" si="27"/>
        <v>9.9</v>
      </c>
      <c r="K16" s="22">
        <f t="shared" si="27"/>
        <v>9.6</v>
      </c>
      <c r="L16" s="22">
        <f t="shared" si="27"/>
        <v>9.45</v>
      </c>
    </row>
    <row r="17">
      <c r="A17" s="23" t="str">
        <f t="shared" si="2"/>
        <v>I= 16 [A]</v>
      </c>
      <c r="B17" s="22">
        <v>25.0</v>
      </c>
      <c r="C17" s="22">
        <f t="shared" si="21"/>
        <v>12.82051282</v>
      </c>
      <c r="D17" s="22">
        <v>15.0</v>
      </c>
      <c r="E17" s="22">
        <v>18.0</v>
      </c>
      <c r="F17" s="22">
        <v>15.0</v>
      </c>
      <c r="G17" s="22">
        <v>10.0</v>
      </c>
      <c r="H17" s="22">
        <f t="shared" ref="H17:J17" si="28">G17*(H16/G16)</f>
        <v>9</v>
      </c>
      <c r="I17" s="22">
        <f t="shared" si="28"/>
        <v>8.5</v>
      </c>
      <c r="J17" s="22">
        <f t="shared" si="28"/>
        <v>8.25</v>
      </c>
      <c r="K17" s="22">
        <v>6.77</v>
      </c>
      <c r="L17" s="22">
        <v>6.5625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>
        <f>0</f>
        <v>0</v>
      </c>
      <c r="C1" s="12">
        <v>1.0</v>
      </c>
      <c r="D1" s="12">
        <v>2.0</v>
      </c>
      <c r="E1" s="5">
        <f t="shared" ref="E1:L1" si="1">D1+1</f>
        <v>3</v>
      </c>
      <c r="F1" s="5">
        <f t="shared" si="1"/>
        <v>4</v>
      </c>
      <c r="G1" s="5">
        <f t="shared" si="1"/>
        <v>5</v>
      </c>
      <c r="H1" s="5">
        <f t="shared" si="1"/>
        <v>6</v>
      </c>
      <c r="I1" s="5">
        <f t="shared" si="1"/>
        <v>7</v>
      </c>
      <c r="J1" s="5">
        <f t="shared" si="1"/>
        <v>8</v>
      </c>
      <c r="K1" s="5">
        <f t="shared" si="1"/>
        <v>9</v>
      </c>
      <c r="L1" s="5">
        <f t="shared" si="1"/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9"/>
      <c r="B2" s="9">
        <v>35.0</v>
      </c>
      <c r="C2" s="9">
        <v>127.0</v>
      </c>
      <c r="D2" s="9">
        <v>50.0</v>
      </c>
      <c r="E2" s="9">
        <v>35.0</v>
      </c>
      <c r="F2" s="9">
        <v>25.0</v>
      </c>
    </row>
    <row r="12">
      <c r="S12" s="28" t="s">
        <v>70</v>
      </c>
      <c r="T12" s="28" t="s">
        <v>71</v>
      </c>
      <c r="U12" s="28" t="s">
        <v>72</v>
      </c>
      <c r="V12" s="28" t="s">
        <v>73</v>
      </c>
      <c r="W12" s="28" t="s">
        <v>74</v>
      </c>
      <c r="X12" s="28" t="s">
        <v>75</v>
      </c>
      <c r="Y12" s="28" t="s">
        <v>76</v>
      </c>
      <c r="Z12" s="28" t="s">
        <v>77</v>
      </c>
      <c r="AA12" s="28" t="s">
        <v>78</v>
      </c>
      <c r="AB12" s="28" t="s">
        <v>79</v>
      </c>
      <c r="AC12" s="28" t="s">
        <v>80</v>
      </c>
      <c r="AD12" s="9"/>
    </row>
    <row r="13">
      <c r="R13" s="28" t="s">
        <v>104</v>
      </c>
      <c r="S13" s="28">
        <v>127.0</v>
      </c>
      <c r="T13" s="28">
        <v>50.0</v>
      </c>
      <c r="U13" s="28">
        <v>35.0</v>
      </c>
      <c r="V13" s="28">
        <v>25.0</v>
      </c>
      <c r="W13" s="28">
        <v>17.0</v>
      </c>
      <c r="X13" s="28">
        <v>15.0</v>
      </c>
      <c r="Y13" s="28">
        <v>14.0</v>
      </c>
      <c r="Z13" s="28">
        <v>13.0</v>
      </c>
      <c r="AA13" s="28">
        <v>12.5</v>
      </c>
      <c r="AB13" s="28">
        <v>11.0</v>
      </c>
      <c r="AC13" s="28">
        <v>9.0</v>
      </c>
      <c r="AD13" s="9">
        <v>0.0</v>
      </c>
    </row>
    <row r="14">
      <c r="R14" s="28" t="s">
        <v>81</v>
      </c>
      <c r="S14" s="28">
        <v>125.0</v>
      </c>
      <c r="T14" s="28">
        <v>40.0</v>
      </c>
      <c r="U14" s="28">
        <v>27.0</v>
      </c>
      <c r="V14" s="28">
        <v>20.0</v>
      </c>
      <c r="W14" s="28">
        <v>16.0</v>
      </c>
      <c r="X14" s="28">
        <v>14.0</v>
      </c>
      <c r="Y14" s="28">
        <v>12.0</v>
      </c>
      <c r="Z14" s="28">
        <v>11.0</v>
      </c>
      <c r="AA14" s="28">
        <v>10.0</v>
      </c>
      <c r="AB14" s="28">
        <v>9.0</v>
      </c>
      <c r="AC14" s="28">
        <v>8.0</v>
      </c>
      <c r="AD14" s="9">
        <v>1.0</v>
      </c>
    </row>
    <row r="15">
      <c r="R15" s="28" t="s">
        <v>82</v>
      </c>
      <c r="S15" s="28">
        <v>123.0</v>
      </c>
      <c r="T15" s="28">
        <v>32.0</v>
      </c>
      <c r="U15" s="28">
        <v>24.0</v>
      </c>
      <c r="V15" s="28">
        <v>19.0</v>
      </c>
      <c r="W15" s="28">
        <v>15.0</v>
      </c>
      <c r="X15" s="28">
        <v>13.0</v>
      </c>
      <c r="Y15" s="28">
        <v>11.0</v>
      </c>
      <c r="Z15" s="28">
        <v>10.0</v>
      </c>
      <c r="AA15" s="28">
        <v>9.5</v>
      </c>
      <c r="AB15" s="28">
        <v>8.5</v>
      </c>
      <c r="AC15" s="28">
        <v>7.5</v>
      </c>
      <c r="AD15" s="9">
        <v>2.0</v>
      </c>
    </row>
    <row r="16">
      <c r="R16" s="28" t="s">
        <v>83</v>
      </c>
      <c r="S16" s="28">
        <v>120.0</v>
      </c>
      <c r="T16" s="28">
        <v>25.0</v>
      </c>
      <c r="U16" s="28">
        <v>22.0</v>
      </c>
      <c r="V16" s="28">
        <v>18.0</v>
      </c>
      <c r="W16" s="28">
        <v>14.0</v>
      </c>
      <c r="X16" s="28">
        <v>12.0</v>
      </c>
      <c r="Y16" s="28">
        <v>10.5</v>
      </c>
      <c r="Z16" s="28">
        <v>9.5</v>
      </c>
      <c r="AA16" s="28">
        <v>8.5</v>
      </c>
      <c r="AB16" s="28">
        <v>7.0</v>
      </c>
      <c r="AC16" s="28">
        <v>6.0</v>
      </c>
      <c r="AD16" s="9">
        <v>3.0</v>
      </c>
    </row>
    <row r="17">
      <c r="R17" s="28" t="s">
        <v>84</v>
      </c>
      <c r="S17" s="28">
        <v>110.0</v>
      </c>
      <c r="T17" s="28">
        <v>20.0</v>
      </c>
      <c r="U17" s="28">
        <v>18.0</v>
      </c>
      <c r="V17" s="28">
        <v>17.0</v>
      </c>
      <c r="W17" s="28">
        <v>13.0</v>
      </c>
      <c r="X17" s="28">
        <v>11.0</v>
      </c>
      <c r="Y17" s="28">
        <v>10.0</v>
      </c>
      <c r="Z17" s="28">
        <v>9.0</v>
      </c>
      <c r="AA17" s="28">
        <v>7.75</v>
      </c>
      <c r="AB17" s="28">
        <v>6.75</v>
      </c>
      <c r="AC17" s="28">
        <v>5.5</v>
      </c>
      <c r="AD17" s="9">
        <v>4.0</v>
      </c>
    </row>
    <row r="18">
      <c r="R18" s="28" t="s">
        <v>85</v>
      </c>
      <c r="S18" s="28">
        <v>95.0</v>
      </c>
      <c r="T18" s="28">
        <v>17.0</v>
      </c>
      <c r="U18" s="28">
        <v>15.0</v>
      </c>
      <c r="V18" s="28">
        <v>14.0</v>
      </c>
      <c r="W18" s="28">
        <v>12.0</v>
      </c>
      <c r="X18" s="28">
        <v>10.0</v>
      </c>
      <c r="Y18" s="28">
        <v>9.0</v>
      </c>
      <c r="Z18" s="28">
        <v>8.0</v>
      </c>
      <c r="AA18" s="28">
        <v>7.25</v>
      </c>
      <c r="AB18" s="28">
        <v>6.5</v>
      </c>
      <c r="AC18" s="28">
        <v>5.25</v>
      </c>
      <c r="AD18" s="9">
        <v>5.0</v>
      </c>
    </row>
    <row r="19">
      <c r="R19" s="28" t="s">
        <v>86</v>
      </c>
      <c r="S19" s="28">
        <v>80.0</v>
      </c>
      <c r="T19" s="28">
        <v>16.0</v>
      </c>
      <c r="U19" s="28">
        <v>14.0</v>
      </c>
      <c r="V19" s="28">
        <v>13.0</v>
      </c>
      <c r="W19" s="28">
        <v>11.0</v>
      </c>
      <c r="X19" s="28">
        <v>9.0</v>
      </c>
      <c r="Y19" s="28">
        <v>8.0</v>
      </c>
      <c r="Z19" s="28">
        <v>7.5</v>
      </c>
      <c r="AA19" s="28">
        <v>7.0</v>
      </c>
      <c r="AB19" s="28">
        <v>6.25</v>
      </c>
      <c r="AC19" s="28">
        <v>5.125</v>
      </c>
      <c r="AD19" s="9">
        <v>6.0</v>
      </c>
    </row>
    <row r="20">
      <c r="R20" s="28" t="s">
        <v>87</v>
      </c>
      <c r="S20" s="28">
        <v>71.0</v>
      </c>
      <c r="T20" s="28">
        <v>15.0</v>
      </c>
      <c r="U20" s="28">
        <v>13.0</v>
      </c>
      <c r="V20" s="28">
        <v>12.0</v>
      </c>
      <c r="W20" s="28">
        <v>10.0</v>
      </c>
      <c r="X20" s="28">
        <v>7.5</v>
      </c>
      <c r="Y20" s="28">
        <v>6.75</v>
      </c>
      <c r="Z20" s="28">
        <v>6.5</v>
      </c>
      <c r="AA20" s="28">
        <v>6.25</v>
      </c>
      <c r="AB20" s="28">
        <v>6.0</v>
      </c>
      <c r="AC20" s="28">
        <v>5.0</v>
      </c>
      <c r="AD20" s="9">
        <v>7.0</v>
      </c>
    </row>
    <row r="21">
      <c r="R21" s="28" t="s">
        <v>88</v>
      </c>
      <c r="S21" s="28">
        <v>63.0</v>
      </c>
      <c r="T21" s="28">
        <v>14.0</v>
      </c>
      <c r="U21" s="28">
        <v>12.0</v>
      </c>
      <c r="V21" s="28">
        <v>10.0</v>
      </c>
      <c r="W21" s="28">
        <v>9.25</v>
      </c>
      <c r="X21" s="28">
        <v>6.0</v>
      </c>
      <c r="Y21" s="28">
        <v>5.75</v>
      </c>
      <c r="Z21" s="28">
        <v>5.5</v>
      </c>
      <c r="AA21" s="28">
        <v>5.375</v>
      </c>
      <c r="AB21" s="28">
        <v>5.125</v>
      </c>
      <c r="AC21" s="28">
        <v>4.9</v>
      </c>
      <c r="AD21" s="9">
        <v>8.0</v>
      </c>
    </row>
    <row r="22">
      <c r="R22" s="28" t="s">
        <v>89</v>
      </c>
      <c r="S22" s="28">
        <v>54.0</v>
      </c>
      <c r="T22" s="28">
        <v>13.0</v>
      </c>
      <c r="U22" s="28">
        <v>11.0</v>
      </c>
      <c r="V22" s="28">
        <v>9.5</v>
      </c>
      <c r="W22" s="28">
        <v>9.0</v>
      </c>
      <c r="X22" s="28">
        <v>5.0</v>
      </c>
      <c r="Y22" s="28">
        <v>4.75</v>
      </c>
      <c r="Z22" s="28">
        <v>4.5</v>
      </c>
      <c r="AA22" s="28">
        <v>4.25</v>
      </c>
      <c r="AB22" s="28">
        <v>4.125</v>
      </c>
      <c r="AC22" s="28">
        <v>4.0</v>
      </c>
      <c r="AD22" s="9">
        <v>9.0</v>
      </c>
    </row>
    <row r="23">
      <c r="R23" s="28" t="s">
        <v>90</v>
      </c>
      <c r="S23" s="28">
        <v>47.0</v>
      </c>
      <c r="T23" s="28">
        <v>12.5</v>
      </c>
      <c r="U23" s="28">
        <v>10.5</v>
      </c>
      <c r="V23" s="28">
        <v>9.0</v>
      </c>
      <c r="W23" s="28">
        <v>8.0</v>
      </c>
      <c r="X23" s="28">
        <v>4.5</v>
      </c>
      <c r="Y23" s="28">
        <v>4.375</v>
      </c>
      <c r="Z23" s="28">
        <v>4.25</v>
      </c>
      <c r="AA23" s="28">
        <v>4.15</v>
      </c>
      <c r="AB23" s="28">
        <v>4.0</v>
      </c>
      <c r="AC23" s="28">
        <v>3.875</v>
      </c>
      <c r="AD23" s="9">
        <v>10.0</v>
      </c>
    </row>
    <row r="24">
      <c r="R24" s="28" t="s">
        <v>91</v>
      </c>
      <c r="S24" s="28">
        <v>41.0</v>
      </c>
      <c r="T24" s="28">
        <v>12.0</v>
      </c>
      <c r="U24" s="28">
        <v>10.0</v>
      </c>
      <c r="V24" s="28">
        <v>8.0</v>
      </c>
      <c r="W24" s="28">
        <v>7.0</v>
      </c>
      <c r="X24" s="28">
        <v>4.0</v>
      </c>
      <c r="Y24" s="28">
        <v>3.875</v>
      </c>
      <c r="Z24" s="28">
        <v>3.75</v>
      </c>
      <c r="AA24" s="28">
        <v>3.625</v>
      </c>
      <c r="AB24" s="28">
        <v>3.5</v>
      </c>
      <c r="AC24" s="28">
        <v>3.4</v>
      </c>
      <c r="AD24" s="9">
        <v>11.0</v>
      </c>
    </row>
    <row r="25">
      <c r="R25" s="28" t="s">
        <v>92</v>
      </c>
      <c r="S25" s="28">
        <v>36.0</v>
      </c>
      <c r="T25" s="28">
        <v>11.0</v>
      </c>
      <c r="U25" s="28">
        <v>9.5</v>
      </c>
      <c r="V25" s="28">
        <v>7.5</v>
      </c>
      <c r="W25" s="28">
        <v>6.0</v>
      </c>
      <c r="X25" s="28">
        <v>3.75</v>
      </c>
      <c r="Y25" s="28">
        <v>3.5</v>
      </c>
      <c r="Z25" s="28">
        <v>3.375</v>
      </c>
      <c r="AA25" s="28">
        <v>3.125</v>
      </c>
      <c r="AB25" s="28">
        <v>3.0</v>
      </c>
      <c r="AC25" s="28">
        <v>2.9</v>
      </c>
      <c r="AD25" s="9">
        <v>12.0</v>
      </c>
    </row>
    <row r="26">
      <c r="R26" s="28" t="s">
        <v>93</v>
      </c>
      <c r="S26" s="28">
        <v>33.0</v>
      </c>
      <c r="T26" s="28">
        <v>10.0</v>
      </c>
      <c r="U26" s="28">
        <v>9.0</v>
      </c>
      <c r="V26" s="28">
        <v>7.0</v>
      </c>
      <c r="W26" s="28">
        <v>5.5</v>
      </c>
      <c r="X26" s="28">
        <v>3.25</v>
      </c>
      <c r="Y26" s="28">
        <v>3.125</v>
      </c>
      <c r="Z26" s="28">
        <v>3.0</v>
      </c>
      <c r="AA26" s="28">
        <v>2.9</v>
      </c>
      <c r="AB26" s="28">
        <v>2.88</v>
      </c>
      <c r="AC26" s="28">
        <v>2.8</v>
      </c>
      <c r="AD26" s="9">
        <v>13.0</v>
      </c>
    </row>
    <row r="27">
      <c r="R27" s="28" t="s">
        <v>94</v>
      </c>
      <c r="S27" s="28">
        <v>30.0</v>
      </c>
      <c r="T27" s="28">
        <v>9.0</v>
      </c>
      <c r="U27" s="28">
        <v>8.5</v>
      </c>
      <c r="V27" s="28">
        <v>6.5</v>
      </c>
      <c r="W27" s="28">
        <v>5.0</v>
      </c>
      <c r="X27" s="28">
        <v>3.0</v>
      </c>
      <c r="Y27" s="28">
        <v>2.8</v>
      </c>
      <c r="Z27" s="28">
        <v>2.75</v>
      </c>
      <c r="AA27" s="28">
        <v>2.7</v>
      </c>
      <c r="AB27" s="28">
        <v>2.67</v>
      </c>
      <c r="AC27" s="28">
        <v>2.6</v>
      </c>
      <c r="AD27" s="9">
        <v>14.0</v>
      </c>
    </row>
    <row r="28">
      <c r="R28" s="28" t="s">
        <v>95</v>
      </c>
      <c r="S28" s="28">
        <v>28.0</v>
      </c>
      <c r="T28" s="28">
        <v>7.0</v>
      </c>
      <c r="U28" s="28">
        <v>6.8</v>
      </c>
      <c r="V28" s="28">
        <v>6.3</v>
      </c>
      <c r="W28" s="28">
        <v>4.9</v>
      </c>
      <c r="X28" s="28">
        <v>2.75</v>
      </c>
      <c r="Y28" s="28">
        <v>2.6</v>
      </c>
      <c r="Z28" s="28">
        <v>2.55</v>
      </c>
      <c r="AA28" s="28">
        <v>2.5</v>
      </c>
      <c r="AB28" s="28">
        <v>2.45</v>
      </c>
      <c r="AC28" s="28">
        <v>2.4</v>
      </c>
      <c r="AD28" s="9">
        <v>15.0</v>
      </c>
    </row>
    <row r="29">
      <c r="S29" s="9">
        <v>0.0</v>
      </c>
      <c r="T29" s="9">
        <v>1.0</v>
      </c>
      <c r="U29" s="9">
        <v>2.0</v>
      </c>
      <c r="V29" s="9">
        <v>3.0</v>
      </c>
      <c r="W29" s="9">
        <v>4.0</v>
      </c>
      <c r="X29" s="9">
        <v>5.0</v>
      </c>
      <c r="Y29" s="9">
        <v>6.0</v>
      </c>
      <c r="Z29" s="9">
        <v>7.0</v>
      </c>
      <c r="AA29" s="9">
        <v>8.0</v>
      </c>
      <c r="AB29" s="9">
        <v>9.0</v>
      </c>
      <c r="AC29" s="9">
        <v>10.0</v>
      </c>
      <c r="AD29" s="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85.5"/>
    <col customWidth="1" min="4" max="4" width="12.75"/>
    <col customWidth="1" min="10" max="11" width="18.38"/>
    <col customWidth="1" min="12" max="12" width="12.75"/>
    <col customWidth="1" min="13" max="13" width="32.0"/>
  </cols>
  <sheetData>
    <row r="1" ht="22.5" customHeight="1">
      <c r="A1" s="29" t="s">
        <v>105</v>
      </c>
      <c r="B1" s="29" t="s">
        <v>106</v>
      </c>
      <c r="C1" s="29" t="s">
        <v>107</v>
      </c>
      <c r="D1" s="29" t="s">
        <v>108</v>
      </c>
      <c r="E1" s="29" t="s">
        <v>25</v>
      </c>
      <c r="F1" s="29" t="s">
        <v>26</v>
      </c>
      <c r="G1" s="29" t="s">
        <v>27</v>
      </c>
      <c r="H1" s="29" t="s">
        <v>28</v>
      </c>
      <c r="I1" s="29" t="s">
        <v>42</v>
      </c>
      <c r="J1" s="30" t="s">
        <v>109</v>
      </c>
      <c r="K1" s="29" t="s">
        <v>110</v>
      </c>
      <c r="L1" s="31" t="s">
        <v>111</v>
      </c>
      <c r="M1" s="32" t="s">
        <v>112</v>
      </c>
      <c r="N1" s="33" t="s">
        <v>113</v>
      </c>
      <c r="O1" s="33" t="s">
        <v>114</v>
      </c>
      <c r="P1" s="34" t="s">
        <v>115</v>
      </c>
      <c r="Q1" s="34" t="s">
        <v>116</v>
      </c>
      <c r="R1" s="12"/>
      <c r="S1" s="12" t="s">
        <v>21</v>
      </c>
      <c r="T1" s="12" t="s">
        <v>22</v>
      </c>
      <c r="U1" s="12" t="s">
        <v>117</v>
      </c>
      <c r="V1" s="12" t="s">
        <v>118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22.5" customHeight="1">
      <c r="A2" s="35" t="s">
        <v>119</v>
      </c>
      <c r="B2" s="36" t="s">
        <v>120</v>
      </c>
      <c r="C2" s="36" t="str">
        <f>dec2bin(0,4)</f>
        <v>0000</v>
      </c>
      <c r="D2" s="36"/>
      <c r="E2" s="37">
        <v>127.0</v>
      </c>
      <c r="F2" s="37">
        <v>0.0</v>
      </c>
      <c r="G2" s="37">
        <v>0.0</v>
      </c>
      <c r="H2" s="37">
        <v>0.0</v>
      </c>
      <c r="I2" s="37">
        <v>127.0</v>
      </c>
      <c r="J2" s="37">
        <v>0.0</v>
      </c>
      <c r="K2" s="37">
        <v>0.0</v>
      </c>
      <c r="L2" s="36" t="s">
        <v>121</v>
      </c>
      <c r="M2" s="38"/>
      <c r="N2" s="38"/>
      <c r="O2" s="38"/>
      <c r="P2" s="39"/>
      <c r="Q2" s="39"/>
    </row>
    <row r="3" ht="22.5" customHeight="1">
      <c r="A3" s="36" t="s">
        <v>122</v>
      </c>
      <c r="B3" s="36" t="s">
        <v>123</v>
      </c>
      <c r="C3" s="36" t="str">
        <f>dec2bin(1, 4)</f>
        <v>0001</v>
      </c>
      <c r="E3" s="37">
        <v>127.0</v>
      </c>
      <c r="F3" s="37">
        <v>50.0</v>
      </c>
      <c r="G3" s="37">
        <v>0.0</v>
      </c>
      <c r="H3" s="37">
        <v>0.0</v>
      </c>
      <c r="I3" s="37">
        <v>126.20315</v>
      </c>
      <c r="J3" s="37" t="s">
        <v>124</v>
      </c>
      <c r="K3" s="37">
        <v>0.0</v>
      </c>
      <c r="L3" s="36" t="s">
        <v>121</v>
      </c>
      <c r="M3" s="38"/>
      <c r="N3" s="38"/>
      <c r="O3" s="38" t="str">
        <f>dec2bin(ROUNDDOWN(I3,0),8)</f>
        <v>01111110</v>
      </c>
      <c r="P3" s="40" t="str">
        <f>
IF(I3-rounddown(I3,0)&gt;=0.5, "1", "0") &amp;
IF(MOD(I3-rounddown(I3,0),0.5)&gt;=0.25, "1", "0") &amp;
IF(MOD(MOD(I3-rounddown(I3,0),0.5),0.25)&gt;=0.125, "1", "0") &amp;
IF(MOD(MOD(MOD(I3-rounddown(I3,0),0.5),0.25),0.125)&gt;=0.0625, "1", "0") &amp;
IF(MOD(MOD(MOD(MOD(I3-rounddown(I3,0),0.5),0.25),0.125),0.0625)&gt;=0.03125, "1", "0") &amp;
IF(MOD(MOD(MOD(MOD(MOD(I3-rounddown(I3,0),0.5),0.25),0.125),0.0625),0.03125)&gt;=0.015625, "1", "0") &amp;
IF(MOD(MOD(MOD(MOD(MOD(MOD(I3-rounddown(I3,0),0.5),0.25),0.125),0.0625),0.03125),0.015625)&gt;=0.0078125, "1", "0") &amp;
IF(MOD(MOD(MOD(MOD(MOD(MOD(MOD(I3-rounddown(I3,0),0.5),0.25),0.125),0.0625),0.03125),0.015625),0.0078125)&gt;=0.00390625, "1", "0")</f>
        <v>00110100</v>
      </c>
      <c r="Q3" s="39" t="str">
        <f>CONCAT(O3,P3)</f>
        <v>0111111000110100</v>
      </c>
    </row>
    <row r="4" ht="22.5" customHeight="1">
      <c r="A4" s="36" t="s">
        <v>125</v>
      </c>
      <c r="B4" s="36" t="s">
        <v>126</v>
      </c>
      <c r="C4" s="36" t="str">
        <f>DEC2BIN(2,4)</f>
        <v>0010</v>
      </c>
      <c r="E4" s="37">
        <v>127.0</v>
      </c>
      <c r="F4" s="37">
        <v>50.0</v>
      </c>
      <c r="G4" s="37">
        <v>125.0</v>
      </c>
      <c r="H4" s="37">
        <v>0.0</v>
      </c>
      <c r="I4" s="37">
        <v>126.4909375</v>
      </c>
      <c r="J4" s="37" t="s">
        <v>127</v>
      </c>
      <c r="K4" s="37">
        <v>0.0</v>
      </c>
      <c r="L4" s="36" t="s">
        <v>121</v>
      </c>
      <c r="M4" s="38"/>
      <c r="N4" s="38"/>
      <c r="O4" s="38"/>
      <c r="P4" s="39"/>
      <c r="Q4" s="39"/>
    </row>
    <row r="5" ht="22.5" customHeight="1">
      <c r="A5" s="36" t="s">
        <v>128</v>
      </c>
      <c r="B5" s="36" t="s">
        <v>129</v>
      </c>
      <c r="C5" s="40" t="str">
        <f>DEC2BIN(3,4)</f>
        <v>0011</v>
      </c>
      <c r="E5" s="37">
        <v>127.0</v>
      </c>
      <c r="F5" s="37">
        <v>50.0</v>
      </c>
      <c r="G5" s="37">
        <v>125.0</v>
      </c>
      <c r="H5" s="37">
        <v>40.0</v>
      </c>
      <c r="I5" s="37">
        <v>126.37890265</v>
      </c>
      <c r="J5" s="37">
        <v>12.0</v>
      </c>
      <c r="K5" s="37">
        <v>0.0</v>
      </c>
      <c r="L5" s="36" t="s">
        <v>121</v>
      </c>
      <c r="M5" s="38"/>
      <c r="N5" s="38"/>
      <c r="O5" s="38"/>
      <c r="P5" s="39"/>
      <c r="Q5" s="39"/>
    </row>
    <row r="6" ht="22.5" customHeight="1">
      <c r="A6" s="36" t="s">
        <v>130</v>
      </c>
      <c r="B6" s="36" t="s">
        <v>131</v>
      </c>
      <c r="C6" s="40" t="str">
        <f>dec2bin(3,4)</f>
        <v>0011</v>
      </c>
      <c r="E6" s="37">
        <v>40.0</v>
      </c>
      <c r="F6" s="37">
        <v>27.0</v>
      </c>
      <c r="G6" s="37">
        <v>32.0</v>
      </c>
      <c r="H6" s="37">
        <v>24.0</v>
      </c>
      <c r="I6" s="37">
        <v>38.703125</v>
      </c>
      <c r="J6" s="37" t="s">
        <v>132</v>
      </c>
      <c r="K6" s="37">
        <v>0.0</v>
      </c>
      <c r="L6" s="36" t="s">
        <v>121</v>
      </c>
      <c r="M6" s="38"/>
      <c r="N6" s="38"/>
      <c r="O6" s="38"/>
      <c r="P6" s="39"/>
      <c r="Q6" s="39"/>
    </row>
    <row r="7" ht="22.5" customHeight="1">
      <c r="A7" s="36" t="s">
        <v>133</v>
      </c>
      <c r="B7" s="36" t="s">
        <v>134</v>
      </c>
      <c r="C7" s="40" t="str">
        <f>DEC2BIN(3,4)</f>
        <v>0011</v>
      </c>
      <c r="E7" s="37">
        <v>40.0</v>
      </c>
      <c r="F7" s="37">
        <v>27.0</v>
      </c>
      <c r="G7" s="37">
        <v>32.0</v>
      </c>
      <c r="H7" s="37">
        <v>24.0</v>
      </c>
      <c r="I7" s="37">
        <v>39.9140625</v>
      </c>
      <c r="J7" s="37" t="s">
        <v>135</v>
      </c>
      <c r="K7" s="37">
        <v>0.0</v>
      </c>
      <c r="L7" s="36" t="s">
        <v>121</v>
      </c>
      <c r="M7" s="38"/>
      <c r="N7" s="38"/>
      <c r="O7" s="38"/>
      <c r="P7" s="39"/>
      <c r="Q7" s="39"/>
    </row>
    <row r="8" ht="22.5" customHeight="1">
      <c r="A8" s="36" t="s">
        <v>136</v>
      </c>
      <c r="B8" s="36" t="s">
        <v>137</v>
      </c>
      <c r="C8" s="40" t="str">
        <f>DEC2BIN(0,4)</f>
        <v>0000</v>
      </c>
      <c r="E8" s="37">
        <v>40.0</v>
      </c>
      <c r="F8" s="37">
        <v>27.0</v>
      </c>
      <c r="G8" s="37">
        <v>32.0</v>
      </c>
      <c r="H8" s="37">
        <v>24.0</v>
      </c>
      <c r="I8" s="37">
        <v>40.0</v>
      </c>
      <c r="J8" s="37" t="str">
        <f t="shared" ref="J8:J10" si="1">J7</f>
        <v>No new addres, all valid</v>
      </c>
      <c r="K8" s="37">
        <v>0.0</v>
      </c>
      <c r="L8" s="36" t="s">
        <v>121</v>
      </c>
      <c r="M8" s="38"/>
      <c r="N8" s="38"/>
      <c r="O8" s="38"/>
      <c r="P8" s="39"/>
      <c r="Q8" s="39"/>
    </row>
    <row r="9" ht="22.5" customHeight="1">
      <c r="A9" s="36" t="s">
        <v>138</v>
      </c>
      <c r="B9" s="36" t="s">
        <v>139</v>
      </c>
      <c r="C9" s="40" t="str">
        <f t="shared" ref="C9:C10" si="2">DEC2BIN(3,4)</f>
        <v>0011</v>
      </c>
      <c r="E9" s="37">
        <v>40.0</v>
      </c>
      <c r="F9" s="37">
        <v>27.0</v>
      </c>
      <c r="G9" s="37">
        <v>32.0</v>
      </c>
      <c r="H9" s="37">
        <v>24.0</v>
      </c>
      <c r="I9" s="37">
        <v>36.3046875</v>
      </c>
      <c r="J9" s="37" t="str">
        <f t="shared" si="1"/>
        <v>No new addres, all valid</v>
      </c>
      <c r="K9" s="37">
        <v>0.0</v>
      </c>
      <c r="L9" s="36" t="s">
        <v>121</v>
      </c>
      <c r="M9" s="38"/>
      <c r="N9" s="38"/>
      <c r="O9" s="38"/>
      <c r="P9" s="39"/>
      <c r="Q9" s="39"/>
    </row>
    <row r="10" ht="22.5" customHeight="1">
      <c r="A10" s="36" t="s">
        <v>140</v>
      </c>
      <c r="B10" s="36" t="s">
        <v>141</v>
      </c>
      <c r="C10" s="40" t="str">
        <f t="shared" si="2"/>
        <v>0011</v>
      </c>
      <c r="E10" s="37">
        <v>40.0</v>
      </c>
      <c r="F10" s="37">
        <v>27.0</v>
      </c>
      <c r="G10" s="37">
        <v>32.0</v>
      </c>
      <c r="H10" s="37">
        <v>24.0</v>
      </c>
      <c r="I10" s="37">
        <v>28.957</v>
      </c>
      <c r="J10" s="37" t="str">
        <f t="shared" si="1"/>
        <v>No new addres, all valid</v>
      </c>
      <c r="K10" s="37">
        <v>1.0</v>
      </c>
      <c r="L10" s="36" t="s">
        <v>121</v>
      </c>
      <c r="M10" s="38"/>
      <c r="N10" s="38"/>
      <c r="O10" s="38"/>
      <c r="P10" s="39"/>
      <c r="Q10" s="39"/>
    </row>
    <row r="11" ht="22.5" customHeight="1">
      <c r="A11" s="41" t="s">
        <v>142</v>
      </c>
      <c r="B11" s="41" t="s">
        <v>143</v>
      </c>
      <c r="C11" s="42" t="str">
        <f>DEC2BIN(4,4)</f>
        <v>0100</v>
      </c>
      <c r="D11" s="42"/>
      <c r="E11" s="43">
        <v>3.3984375</v>
      </c>
      <c r="F11" s="43">
        <v>27.0</v>
      </c>
      <c r="G11" s="43">
        <v>32.0</v>
      </c>
      <c r="H11" s="43">
        <v>24.0</v>
      </c>
      <c r="I11" s="43">
        <v>3.3984375</v>
      </c>
      <c r="J11" s="43">
        <v>131.0</v>
      </c>
      <c r="K11" s="44">
        <v>0.0</v>
      </c>
      <c r="L11" s="41" t="s">
        <v>144</v>
      </c>
      <c r="M11" s="45"/>
      <c r="N11" s="45"/>
      <c r="O11" s="45"/>
      <c r="P11" s="39"/>
      <c r="Q11" s="39"/>
    </row>
    <row r="12" ht="22.5" customHeight="1">
      <c r="A12" s="46" t="s">
        <v>145</v>
      </c>
      <c r="B12" s="46" t="s">
        <v>146</v>
      </c>
      <c r="C12" s="39" t="str">
        <f>dec2bin(5,4)</f>
        <v>0101</v>
      </c>
      <c r="D12" s="39"/>
      <c r="E12" s="47">
        <v>5.25</v>
      </c>
      <c r="F12" s="48">
        <f>F11</f>
        <v>27</v>
      </c>
      <c r="G12" s="47">
        <v>32.0</v>
      </c>
      <c r="H12" s="47">
        <v>24.0</v>
      </c>
      <c r="I12" s="47">
        <v>5.25</v>
      </c>
      <c r="J12" s="47">
        <v>65.0</v>
      </c>
      <c r="K12" s="47">
        <v>0.0</v>
      </c>
      <c r="L12" s="46" t="s">
        <v>121</v>
      </c>
      <c r="M12" s="38"/>
      <c r="N12" s="38"/>
      <c r="O12" s="38"/>
      <c r="P12" s="39"/>
      <c r="Q12" s="39"/>
    </row>
    <row r="13" ht="22.5" customHeight="1">
      <c r="A13" s="41" t="s">
        <v>147</v>
      </c>
      <c r="B13" s="41" t="s">
        <v>148</v>
      </c>
      <c r="C13" s="41" t="str">
        <f>DEC2BIN(6,4)</f>
        <v>0110</v>
      </c>
      <c r="D13" s="41"/>
      <c r="E13" s="44">
        <v>5.124</v>
      </c>
      <c r="F13" s="44">
        <v>27.0</v>
      </c>
      <c r="G13" s="43">
        <v>5.0</v>
      </c>
      <c r="H13" s="43">
        <v>24.0</v>
      </c>
      <c r="I13" s="43">
        <v>1.2571375</v>
      </c>
      <c r="J13" s="43" t="s">
        <v>149</v>
      </c>
      <c r="K13" s="43"/>
      <c r="L13" s="43" t="s">
        <v>150</v>
      </c>
      <c r="M13" s="44" t="s">
        <v>151</v>
      </c>
      <c r="N13" s="41" t="s">
        <v>152</v>
      </c>
      <c r="O13" s="45"/>
      <c r="P13" s="39"/>
      <c r="Q13" s="39"/>
    </row>
    <row r="14" ht="22.5" customHeight="1">
      <c r="A14" s="46" t="s">
        <v>153</v>
      </c>
      <c r="B14" s="46" t="s">
        <v>154</v>
      </c>
      <c r="C14" s="39" t="str">
        <f>DEC2BIN(7,4)</f>
        <v>0111</v>
      </c>
      <c r="D14" s="39"/>
      <c r="E14" s="47">
        <v>5.5</v>
      </c>
      <c r="F14" s="47">
        <v>27.0</v>
      </c>
      <c r="G14" s="47">
        <v>5.25</v>
      </c>
      <c r="H14" s="47">
        <v>24.0</v>
      </c>
      <c r="I14" s="47">
        <v>5.4140625</v>
      </c>
      <c r="J14" s="39"/>
      <c r="K14" s="48"/>
      <c r="L14" s="46" t="s">
        <v>121</v>
      </c>
      <c r="M14" s="39"/>
      <c r="N14" s="39"/>
      <c r="O14" s="39"/>
      <c r="P14" s="39"/>
      <c r="Q14" s="39"/>
    </row>
    <row r="15" ht="22.5" customHeight="1">
      <c r="A15" s="46" t="s">
        <v>155</v>
      </c>
      <c r="B15" s="46" t="s">
        <v>156</v>
      </c>
      <c r="C15" s="46" t="str">
        <f>DEC2BIN(8,4)</f>
        <v>1000</v>
      </c>
      <c r="D15" s="39"/>
      <c r="E15" s="47">
        <v>2.44921875</v>
      </c>
      <c r="F15" s="47">
        <v>27.0</v>
      </c>
      <c r="G15" s="47">
        <v>5.25</v>
      </c>
      <c r="H15" s="47">
        <v>24.0</v>
      </c>
      <c r="I15" s="47">
        <v>2.44921875</v>
      </c>
      <c r="J15" s="39"/>
      <c r="K15" s="48"/>
      <c r="L15" s="46" t="s">
        <v>121</v>
      </c>
      <c r="M15" s="39"/>
      <c r="N15" s="39"/>
      <c r="O15" s="39"/>
      <c r="P15" s="39"/>
      <c r="Q15" s="39"/>
    </row>
    <row r="16" ht="22.5" customHeight="1">
      <c r="A16" s="46" t="s">
        <v>157</v>
      </c>
      <c r="B16" s="46" t="s">
        <v>158</v>
      </c>
      <c r="C16" s="39" t="str">
        <f t="shared" ref="C16:C18" si="3">DEC2BIN(9,4)</f>
        <v>1001</v>
      </c>
      <c r="D16" s="39"/>
      <c r="E16" s="48">
        <f>E15</f>
        <v>2.44921875</v>
      </c>
      <c r="F16" s="47">
        <v>2.3984375</v>
      </c>
      <c r="G16" s="47">
        <v>5.25</v>
      </c>
      <c r="H16" s="47">
        <v>24.0</v>
      </c>
      <c r="I16" s="48">
        <f>2.43359375</f>
        <v>2.43359375</v>
      </c>
      <c r="J16" s="39"/>
      <c r="K16" s="48"/>
      <c r="L16" s="46" t="s">
        <v>121</v>
      </c>
      <c r="M16" s="39"/>
      <c r="N16" s="39"/>
      <c r="O16" s="39"/>
      <c r="P16" s="39"/>
      <c r="Q16" s="39"/>
    </row>
    <row r="17" ht="22.5" customHeight="1">
      <c r="A17" s="41" t="s">
        <v>159</v>
      </c>
      <c r="B17" s="41" t="s">
        <v>160</v>
      </c>
      <c r="C17" s="41" t="str">
        <f t="shared" si="3"/>
        <v>1001</v>
      </c>
      <c r="D17" s="41"/>
      <c r="E17" s="44">
        <v>2.5</v>
      </c>
      <c r="F17" s="44">
        <v>2.44921875</v>
      </c>
      <c r="G17" s="43">
        <v>5.25</v>
      </c>
      <c r="H17" s="43">
        <v>24.0</v>
      </c>
      <c r="I17" s="43">
        <v>2.4375</v>
      </c>
      <c r="J17" s="43"/>
      <c r="K17" s="43"/>
      <c r="L17" s="43" t="s">
        <v>121</v>
      </c>
      <c r="M17" s="44" t="s">
        <v>161</v>
      </c>
      <c r="N17" s="41"/>
      <c r="O17" s="45"/>
      <c r="P17" s="39"/>
      <c r="Q17" s="39"/>
    </row>
    <row r="18" ht="22.5" customHeight="1">
      <c r="A18" s="46" t="s">
        <v>162</v>
      </c>
      <c r="B18" s="36" t="s">
        <v>163</v>
      </c>
      <c r="C18" s="36" t="str">
        <f t="shared" si="3"/>
        <v>1001</v>
      </c>
      <c r="D18" s="36"/>
      <c r="E18" s="37">
        <v>2.546875</v>
      </c>
      <c r="F18" s="37">
        <v>2.5</v>
      </c>
      <c r="G18" s="37">
        <f>G17</f>
        <v>5.25</v>
      </c>
      <c r="H18" s="37">
        <v>24.0</v>
      </c>
      <c r="I18" s="37">
        <v>2.48828125</v>
      </c>
      <c r="J18" s="37"/>
      <c r="K18" s="37"/>
      <c r="L18" s="37" t="s">
        <v>121</v>
      </c>
      <c r="M18" s="49"/>
      <c r="N18" s="36"/>
      <c r="O18" s="45"/>
      <c r="P18" s="39"/>
      <c r="Q18" s="39"/>
    </row>
    <row r="19" ht="22.5" customHeight="1">
      <c r="A19" s="41" t="s">
        <v>164</v>
      </c>
      <c r="B19" s="41" t="s">
        <v>165</v>
      </c>
      <c r="C19" s="41" t="str">
        <f>DEC2BIN(10)</f>
        <v>1010</v>
      </c>
      <c r="D19" s="41"/>
      <c r="E19" s="43">
        <v>2.44921875</v>
      </c>
      <c r="F19" s="44">
        <f>F18</f>
        <v>2.5</v>
      </c>
      <c r="G19" s="44">
        <f t="shared" ref="G19:H19" si="4">G17</f>
        <v>5.25</v>
      </c>
      <c r="H19" s="44">
        <f t="shared" si="4"/>
        <v>24</v>
      </c>
      <c r="I19" s="43">
        <v>2.44921875</v>
      </c>
      <c r="J19" s="43"/>
      <c r="K19" s="43"/>
      <c r="L19" s="43" t="s">
        <v>121</v>
      </c>
      <c r="M19" s="43" t="s">
        <v>166</v>
      </c>
      <c r="N19" s="41"/>
      <c r="O19" s="45"/>
      <c r="P19" s="39"/>
      <c r="Q19" s="39"/>
    </row>
    <row r="20" ht="22.5" customHeight="1">
      <c r="A20" s="46" t="s">
        <v>167</v>
      </c>
      <c r="B20" s="46" t="s">
        <v>168</v>
      </c>
      <c r="C20" s="39" t="str">
        <f>DEC2BIN(11)</f>
        <v>1011</v>
      </c>
      <c r="D20" s="39"/>
      <c r="E20" s="47">
        <v>4.8984375</v>
      </c>
      <c r="F20" s="47">
        <v>2.75</v>
      </c>
      <c r="G20" s="47">
        <v>5.25</v>
      </c>
      <c r="H20" s="47">
        <v>24.0</v>
      </c>
      <c r="I20" s="47">
        <v>4.76953125</v>
      </c>
      <c r="J20" s="39"/>
      <c r="K20" s="48"/>
      <c r="L20" s="46" t="s">
        <v>121</v>
      </c>
      <c r="M20" s="39"/>
      <c r="N20" s="39"/>
      <c r="O20" s="39"/>
      <c r="P20" s="39"/>
      <c r="Q20" s="39"/>
    </row>
    <row r="21" ht="22.5" customHeight="1">
      <c r="A21" s="46" t="s">
        <v>169</v>
      </c>
      <c r="B21" s="46" t="s">
        <v>170</v>
      </c>
      <c r="C21" s="39" t="str">
        <f>DEC2BIN(12)</f>
        <v>1100</v>
      </c>
      <c r="D21" s="39"/>
      <c r="E21" s="47">
        <v>2.3984375</v>
      </c>
      <c r="F21" s="48">
        <f t="shared" ref="F21:H21" si="5">F20</f>
        <v>2.75</v>
      </c>
      <c r="G21" s="48">
        <f t="shared" si="5"/>
        <v>5.25</v>
      </c>
      <c r="H21" s="48">
        <f t="shared" si="5"/>
        <v>24</v>
      </c>
      <c r="I21" s="48">
        <f t="shared" ref="I21:I22" si="7">E21</f>
        <v>2.3984375</v>
      </c>
      <c r="J21" s="39"/>
      <c r="K21" s="48"/>
      <c r="L21" s="46" t="s">
        <v>121</v>
      </c>
      <c r="M21" s="39"/>
      <c r="N21" s="39"/>
      <c r="O21" s="39"/>
      <c r="P21" s="39"/>
      <c r="Q21" s="39"/>
    </row>
    <row r="22" ht="22.5" customHeight="1">
      <c r="A22" s="46" t="s">
        <v>171</v>
      </c>
      <c r="B22" s="46" t="s">
        <v>172</v>
      </c>
      <c r="C22" s="39" t="str">
        <f>DEC2BIN(13)</f>
        <v>1101</v>
      </c>
      <c r="D22" s="39"/>
      <c r="E22" s="47">
        <v>2.39884375</v>
      </c>
      <c r="F22" s="48">
        <f t="shared" ref="F22:H22" si="6">F21</f>
        <v>2.75</v>
      </c>
      <c r="G22" s="48">
        <f t="shared" si="6"/>
        <v>5.25</v>
      </c>
      <c r="H22" s="48">
        <f t="shared" si="6"/>
        <v>24</v>
      </c>
      <c r="I22" s="48">
        <f t="shared" si="7"/>
        <v>2.39884375</v>
      </c>
      <c r="J22" s="39"/>
      <c r="K22" s="48"/>
      <c r="L22" s="46" t="s">
        <v>121</v>
      </c>
      <c r="M22" s="39"/>
      <c r="N22" s="39"/>
      <c r="O22" s="39"/>
      <c r="P22" s="39"/>
      <c r="Q22" s="39"/>
    </row>
    <row r="23" ht="22.5" customHeight="1">
      <c r="A23" s="46" t="s">
        <v>173</v>
      </c>
      <c r="B23" s="46" t="s">
        <v>174</v>
      </c>
      <c r="C23" s="39" t="str">
        <f>DEC2BIN(14)</f>
        <v>1110</v>
      </c>
      <c r="D23" s="39"/>
      <c r="E23" s="47">
        <v>2.39884375</v>
      </c>
      <c r="F23" s="48">
        <f t="shared" ref="F23:I23" si="8">F22</f>
        <v>2.75</v>
      </c>
      <c r="G23" s="48">
        <f t="shared" si="8"/>
        <v>5.25</v>
      </c>
      <c r="H23" s="48">
        <f t="shared" si="8"/>
        <v>24</v>
      </c>
      <c r="I23" s="48">
        <f t="shared" si="8"/>
        <v>2.39884375</v>
      </c>
      <c r="J23" s="39"/>
      <c r="K23" s="48"/>
      <c r="L23" s="46" t="s">
        <v>121</v>
      </c>
      <c r="M23" s="39"/>
      <c r="N23" s="39"/>
      <c r="O23" s="39"/>
      <c r="P23" s="39"/>
      <c r="Q23" s="39"/>
    </row>
    <row r="24" ht="22.5" customHeight="1">
      <c r="A24" s="46" t="s">
        <v>175</v>
      </c>
      <c r="B24" s="46" t="s">
        <v>176</v>
      </c>
      <c r="C24" s="39" t="str">
        <f>DEC2BIN(15)</f>
        <v>1111</v>
      </c>
      <c r="D24" s="39"/>
      <c r="E24" s="48">
        <f t="shared" ref="E24:I24" si="9">E23</f>
        <v>2.39884375</v>
      </c>
      <c r="F24" s="48">
        <f t="shared" si="9"/>
        <v>2.75</v>
      </c>
      <c r="G24" s="48">
        <f t="shared" si="9"/>
        <v>5.25</v>
      </c>
      <c r="H24" s="48">
        <f t="shared" si="9"/>
        <v>24</v>
      </c>
      <c r="I24" s="48">
        <f t="shared" si="9"/>
        <v>2.39884375</v>
      </c>
      <c r="J24" s="39"/>
      <c r="K24" s="49"/>
      <c r="L24" s="46" t="s">
        <v>121</v>
      </c>
      <c r="M24" s="39"/>
      <c r="N24" s="39"/>
      <c r="O24" s="39"/>
      <c r="P24" s="39"/>
      <c r="Q24" s="39"/>
    </row>
    <row r="25" ht="22.5" customHeight="1">
      <c r="A25" s="46" t="s">
        <v>177</v>
      </c>
      <c r="B25" s="46" t="s">
        <v>178</v>
      </c>
      <c r="C25" s="39" t="str">
        <f>DEC2BIN(11)</f>
        <v>1011</v>
      </c>
      <c r="D25" s="39"/>
      <c r="E25" s="47">
        <v>7.0</v>
      </c>
      <c r="F25" s="47">
        <v>6.796875</v>
      </c>
      <c r="G25" s="48">
        <f t="shared" ref="G25:H25" si="10">G24</f>
        <v>5.25</v>
      </c>
      <c r="H25" s="48">
        <f t="shared" si="10"/>
        <v>24</v>
      </c>
      <c r="I25" s="47">
        <v>6.76953125</v>
      </c>
      <c r="J25" s="39"/>
      <c r="K25" s="48"/>
      <c r="L25" s="46" t="s">
        <v>121</v>
      </c>
      <c r="M25" s="39"/>
      <c r="N25" s="39"/>
      <c r="O25" s="39"/>
      <c r="P25" s="39"/>
      <c r="Q25" s="39"/>
    </row>
    <row r="26" ht="22.5" customHeight="1">
      <c r="A26" s="41" t="s">
        <v>179</v>
      </c>
      <c r="B26" s="41" t="s">
        <v>180</v>
      </c>
      <c r="C26" s="41" t="str">
        <f>DEC2BIN(3,4)</f>
        <v>0011</v>
      </c>
      <c r="D26" s="41"/>
      <c r="E26" s="43">
        <v>32.0</v>
      </c>
      <c r="F26" s="44">
        <v>24.0</v>
      </c>
      <c r="G26" s="44">
        <v>25.0</v>
      </c>
      <c r="H26" s="44">
        <v>18.0</v>
      </c>
      <c r="I26" s="43">
        <v>22.53125</v>
      </c>
      <c r="J26" s="43"/>
      <c r="K26" s="43"/>
      <c r="L26" s="43" t="s">
        <v>121</v>
      </c>
      <c r="M26" s="43" t="s">
        <v>181</v>
      </c>
      <c r="N26" s="41"/>
      <c r="O26" s="39"/>
      <c r="P26" s="39"/>
      <c r="Q26" s="39"/>
    </row>
    <row r="27" ht="22.5" customHeight="1">
      <c r="A27" s="46" t="s">
        <v>182</v>
      </c>
      <c r="B27" s="46" t="s">
        <v>183</v>
      </c>
      <c r="C27" s="39" t="str">
        <f>DEC2BIN(2,4)</f>
        <v>0010</v>
      </c>
      <c r="D27" s="39"/>
      <c r="E27" s="47">
        <f t="shared" ref="E27:H27" si="11">E26</f>
        <v>32</v>
      </c>
      <c r="F27" s="48">
        <f t="shared" si="11"/>
        <v>24</v>
      </c>
      <c r="G27" s="48">
        <f t="shared" si="11"/>
        <v>25</v>
      </c>
      <c r="H27" s="48">
        <f t="shared" si="11"/>
        <v>18</v>
      </c>
      <c r="I27" s="47">
        <v>26.671875</v>
      </c>
      <c r="J27" s="39"/>
      <c r="K27" s="48"/>
      <c r="L27" s="46" t="s">
        <v>121</v>
      </c>
      <c r="M27" s="39"/>
      <c r="N27" s="39"/>
      <c r="O27" s="39"/>
      <c r="P27" s="39"/>
      <c r="Q27" s="39"/>
    </row>
    <row r="28" ht="22.5" customHeight="1">
      <c r="A28" s="46" t="s">
        <v>184</v>
      </c>
      <c r="B28" s="46" t="s">
        <v>185</v>
      </c>
      <c r="C28" s="39" t="str">
        <f>C26</f>
        <v>0011</v>
      </c>
      <c r="D28" s="39"/>
      <c r="E28" s="48">
        <f t="shared" ref="E28:H28" si="12">E27</f>
        <v>32</v>
      </c>
      <c r="F28" s="48">
        <f t="shared" si="12"/>
        <v>24</v>
      </c>
      <c r="G28" s="48">
        <f t="shared" si="12"/>
        <v>25</v>
      </c>
      <c r="H28" s="48">
        <f t="shared" si="12"/>
        <v>18</v>
      </c>
      <c r="I28" s="47">
        <v>26.44921875</v>
      </c>
      <c r="J28" s="39"/>
      <c r="K28" s="48"/>
      <c r="L28" s="46" t="s">
        <v>121</v>
      </c>
      <c r="M28" s="39"/>
      <c r="N28" s="39"/>
      <c r="O28" s="39"/>
      <c r="P28" s="39"/>
      <c r="Q28" s="39"/>
    </row>
    <row r="29" ht="22.5" customHeight="1">
      <c r="A29" s="46" t="s">
        <v>186</v>
      </c>
      <c r="B29" s="46" t="s">
        <v>187</v>
      </c>
      <c r="C29" s="39" t="str">
        <f>DEC2BIN(1,4)</f>
        <v>0001</v>
      </c>
      <c r="D29" s="39"/>
      <c r="E29" s="48">
        <f t="shared" ref="E29:H29" si="13">E28</f>
        <v>32</v>
      </c>
      <c r="F29" s="48">
        <f t="shared" si="13"/>
        <v>24</v>
      </c>
      <c r="G29" s="48">
        <f t="shared" si="13"/>
        <v>25</v>
      </c>
      <c r="H29" s="48">
        <f t="shared" si="13"/>
        <v>18</v>
      </c>
      <c r="I29" s="47">
        <v>31.359375</v>
      </c>
      <c r="J29" s="39"/>
      <c r="K29" s="48"/>
      <c r="L29" s="46" t="s">
        <v>121</v>
      </c>
      <c r="M29" s="39"/>
      <c r="N29" s="39"/>
      <c r="O29" s="39"/>
      <c r="P29" s="39"/>
      <c r="Q29" s="39"/>
    </row>
    <row r="30" ht="22.5" customHeight="1">
      <c r="A30" s="46" t="s">
        <v>188</v>
      </c>
      <c r="B30" s="46" t="s">
        <v>189</v>
      </c>
      <c r="C30" s="46" t="str">
        <f t="shared" ref="C30:C32" si="14">DEC2BIN(3,4)</f>
        <v>0011</v>
      </c>
      <c r="D30" s="39"/>
      <c r="E30" s="47">
        <v>13.0</v>
      </c>
      <c r="F30" s="47">
        <v>11.0</v>
      </c>
      <c r="G30" s="47">
        <v>12.0</v>
      </c>
      <c r="H30" s="47">
        <v>10.0</v>
      </c>
      <c r="I30" s="47">
        <v>11.58984375</v>
      </c>
      <c r="J30" s="39"/>
      <c r="K30" s="48"/>
      <c r="L30" s="46" t="s">
        <v>121</v>
      </c>
      <c r="M30" s="39"/>
      <c r="N30" s="39"/>
      <c r="O30" s="39"/>
      <c r="P30" s="39"/>
      <c r="Q30" s="39"/>
    </row>
    <row r="31" ht="22.5" customHeight="1">
      <c r="A31" s="46" t="s">
        <v>190</v>
      </c>
      <c r="B31" s="46" t="s">
        <v>191</v>
      </c>
      <c r="C31" s="39" t="str">
        <f t="shared" si="14"/>
        <v>0011</v>
      </c>
      <c r="D31" s="39"/>
      <c r="E31" s="47">
        <v>4.5</v>
      </c>
      <c r="F31" s="47">
        <v>4.375</v>
      </c>
      <c r="G31" s="47">
        <v>4.0</v>
      </c>
      <c r="H31" s="47">
        <v>3.875</v>
      </c>
      <c r="I31" s="47">
        <v>4.125</v>
      </c>
      <c r="J31" s="39"/>
      <c r="K31" s="48"/>
      <c r="L31" s="46" t="s">
        <v>121</v>
      </c>
      <c r="M31" s="39"/>
      <c r="N31" s="39"/>
      <c r="O31" s="39"/>
      <c r="P31" s="39"/>
      <c r="Q31" s="39"/>
    </row>
    <row r="32" ht="22.5" customHeight="1">
      <c r="A32" s="46" t="s">
        <v>192</v>
      </c>
      <c r="B32" s="46" t="s">
        <v>193</v>
      </c>
      <c r="C32" s="39" t="str">
        <f t="shared" si="14"/>
        <v>0011</v>
      </c>
      <c r="D32" s="39"/>
      <c r="E32" s="47">
        <v>127.0</v>
      </c>
      <c r="F32" s="47">
        <v>50.0</v>
      </c>
      <c r="G32" s="47">
        <v>125.0</v>
      </c>
      <c r="H32" s="47">
        <v>40.0</v>
      </c>
      <c r="I32" s="47">
        <v>126.6875</v>
      </c>
      <c r="J32" s="39"/>
      <c r="K32" s="48"/>
      <c r="L32" s="46" t="s">
        <v>121</v>
      </c>
      <c r="M32" s="39"/>
      <c r="N32" s="39"/>
      <c r="O32" s="39"/>
      <c r="P32" s="39"/>
      <c r="Q32" s="39"/>
    </row>
    <row r="33" ht="22.5" customHeight="1">
      <c r="A33" s="46" t="s">
        <v>194</v>
      </c>
      <c r="B33" s="46" t="s">
        <v>195</v>
      </c>
      <c r="C33" s="46" t="str">
        <f>DEC2BIN(15)</f>
        <v>1111</v>
      </c>
      <c r="D33" s="39"/>
      <c r="E33" s="47">
        <v>2.398475</v>
      </c>
      <c r="F33" s="47">
        <v>50.0</v>
      </c>
      <c r="G33" s="47">
        <v>125.0</v>
      </c>
      <c r="H33" s="47">
        <v>40.0</v>
      </c>
      <c r="I33" s="48">
        <f>E33</f>
        <v>2.398475</v>
      </c>
      <c r="J33" s="39"/>
      <c r="K33" s="48"/>
      <c r="L33" s="46" t="s">
        <v>121</v>
      </c>
      <c r="M33" s="39"/>
      <c r="N33" s="39"/>
      <c r="O33" s="39"/>
      <c r="P33" s="39"/>
      <c r="Q33" s="39"/>
    </row>
    <row r="34" ht="22.5" customHeight="1">
      <c r="A34" s="46" t="s">
        <v>196</v>
      </c>
      <c r="B34" s="46" t="s">
        <v>197</v>
      </c>
      <c r="C34" s="39" t="str">
        <f>DEC2BIN(3,4)</f>
        <v>0011</v>
      </c>
      <c r="D34" s="39"/>
      <c r="E34" s="47">
        <v>4.5</v>
      </c>
      <c r="F34" s="47">
        <v>4.375</v>
      </c>
      <c r="G34" s="47">
        <v>4.0</v>
      </c>
      <c r="H34" s="47">
        <v>3.875</v>
      </c>
      <c r="I34" s="47">
        <v>4.1209375</v>
      </c>
      <c r="J34" s="39"/>
      <c r="K34" s="48"/>
      <c r="L34" s="46" t="s">
        <v>121</v>
      </c>
      <c r="M34" s="39"/>
      <c r="N34" s="39"/>
      <c r="O34" s="39"/>
      <c r="P34" s="39"/>
      <c r="Q34" s="39"/>
    </row>
    <row r="35" ht="22.5" customHeight="1">
      <c r="A35" s="46" t="s">
        <v>198</v>
      </c>
      <c r="B35" s="46" t="s">
        <v>199</v>
      </c>
      <c r="C35" s="39" t="str">
        <f>DEC2BIN(10)</f>
        <v>1010</v>
      </c>
      <c r="D35" s="39"/>
      <c r="E35" s="47">
        <v>28.0</v>
      </c>
      <c r="F35" s="48">
        <f t="shared" ref="F35:H35" si="15">F34</f>
        <v>4.375</v>
      </c>
      <c r="G35" s="48">
        <f t="shared" si="15"/>
        <v>4</v>
      </c>
      <c r="H35" s="48">
        <f t="shared" si="15"/>
        <v>3.875</v>
      </c>
      <c r="I35" s="47">
        <v>28.0</v>
      </c>
      <c r="J35" s="39"/>
      <c r="K35" s="48"/>
      <c r="L35" s="46" t="s">
        <v>200</v>
      </c>
      <c r="M35" s="39"/>
      <c r="N35" s="39"/>
      <c r="O35" s="39"/>
      <c r="P35" s="39"/>
      <c r="Q35" s="39"/>
    </row>
    <row r="36" ht="22.5" customHeight="1">
      <c r="A36" s="46" t="s">
        <v>201</v>
      </c>
      <c r="B36" s="46" t="s">
        <v>202</v>
      </c>
      <c r="C36" s="39" t="str">
        <f>DEC2BIN(15)</f>
        <v>1111</v>
      </c>
      <c r="D36" s="39"/>
      <c r="E36" s="47">
        <v>2.3984375</v>
      </c>
      <c r="F36" s="48">
        <f t="shared" ref="F36:H36" si="16">F35</f>
        <v>4.375</v>
      </c>
      <c r="G36" s="48">
        <f t="shared" si="16"/>
        <v>4</v>
      </c>
      <c r="H36" s="48">
        <f t="shared" si="16"/>
        <v>3.875</v>
      </c>
      <c r="I36" s="48">
        <f t="shared" ref="I36:I37" si="18">E36</f>
        <v>2.3984375</v>
      </c>
      <c r="J36" s="39"/>
      <c r="K36" s="48"/>
      <c r="L36" s="46" t="s">
        <v>121</v>
      </c>
      <c r="M36" s="39"/>
      <c r="N36" s="39"/>
      <c r="O36" s="39"/>
      <c r="P36" s="39"/>
      <c r="Q36" s="39"/>
    </row>
    <row r="37" ht="22.5" customHeight="1">
      <c r="A37" s="46" t="s">
        <v>203</v>
      </c>
      <c r="B37" s="46" t="s">
        <v>204</v>
      </c>
      <c r="C37" s="39" t="str">
        <f>DEC2BIN(0,4)</f>
        <v>0000</v>
      </c>
      <c r="D37" s="39"/>
      <c r="E37" s="47">
        <v>5.375</v>
      </c>
      <c r="F37" s="47">
        <f t="shared" ref="F37:H37" si="17">F36</f>
        <v>4.375</v>
      </c>
      <c r="G37" s="48">
        <f t="shared" si="17"/>
        <v>4</v>
      </c>
      <c r="H37" s="48">
        <f t="shared" si="17"/>
        <v>3.875</v>
      </c>
      <c r="I37" s="48">
        <f t="shared" si="18"/>
        <v>5.375</v>
      </c>
      <c r="J37" s="39"/>
      <c r="K37" s="48"/>
      <c r="L37" s="46" t="s">
        <v>121</v>
      </c>
      <c r="M37" s="39"/>
      <c r="N37" s="39"/>
      <c r="O37" s="39"/>
      <c r="P37" s="39"/>
      <c r="Q37" s="39"/>
    </row>
    <row r="38" ht="22.5" customHeight="1">
      <c r="A38" s="39"/>
      <c r="B38" s="39"/>
      <c r="C38" s="39"/>
      <c r="D38" s="39"/>
      <c r="E38" s="48"/>
      <c r="F38" s="48"/>
      <c r="G38" s="48"/>
      <c r="H38" s="48"/>
      <c r="I38" s="48"/>
      <c r="J38" s="39"/>
      <c r="K38" s="48"/>
      <c r="L38" s="39"/>
      <c r="M38" s="39"/>
      <c r="N38" s="39"/>
      <c r="O38" s="39"/>
      <c r="P38" s="39"/>
      <c r="Q38" s="39"/>
    </row>
  </sheetData>
  <dataValidations>
    <dataValidation type="custom" allowBlank="1" showDropDown="1" sqref="E2:I38 K2:K38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205</v>
      </c>
    </row>
    <row r="2">
      <c r="A2" s="9">
        <v>0.0</v>
      </c>
      <c r="B2" s="9">
        <v>0.0</v>
      </c>
      <c r="C2" s="9" t="s">
        <v>206</v>
      </c>
      <c r="D2" s="9" t="s">
        <v>207</v>
      </c>
      <c r="E2" s="9" t="s">
        <v>208</v>
      </c>
    </row>
    <row r="3">
      <c r="A3" s="9">
        <v>1.0</v>
      </c>
      <c r="B3" s="9">
        <v>1.0</v>
      </c>
      <c r="C3" s="9" t="s">
        <v>209</v>
      </c>
      <c r="D3" s="9" t="s">
        <v>210</v>
      </c>
      <c r="E3" s="9" t="s">
        <v>211</v>
      </c>
    </row>
    <row r="4">
      <c r="A4" s="9">
        <v>2.0</v>
      </c>
      <c r="B4" s="9">
        <v>10.0</v>
      </c>
      <c r="C4" s="9" t="s">
        <v>212</v>
      </c>
      <c r="D4" s="9" t="s">
        <v>213</v>
      </c>
      <c r="E4" s="9" t="s">
        <v>214</v>
      </c>
    </row>
    <row r="5">
      <c r="A5" s="9">
        <v>3.0</v>
      </c>
      <c r="B5" s="9">
        <v>11.0</v>
      </c>
      <c r="C5" s="9" t="s">
        <v>215</v>
      </c>
      <c r="D5" s="9" t="s">
        <v>216</v>
      </c>
      <c r="E5" s="9" t="s">
        <v>217</v>
      </c>
    </row>
    <row r="6">
      <c r="A6" s="9">
        <v>4.0</v>
      </c>
      <c r="B6" s="9">
        <v>100.0</v>
      </c>
      <c r="C6" s="9" t="s">
        <v>218</v>
      </c>
      <c r="D6" s="9" t="s">
        <v>207</v>
      </c>
      <c r="E6" s="9" t="s">
        <v>208</v>
      </c>
    </row>
    <row r="7">
      <c r="A7" s="9">
        <v>5.0</v>
      </c>
      <c r="B7" s="9">
        <v>101.0</v>
      </c>
      <c r="C7" s="9" t="s">
        <v>219</v>
      </c>
      <c r="D7" s="9" t="s">
        <v>207</v>
      </c>
      <c r="E7" s="9" t="s">
        <v>208</v>
      </c>
    </row>
    <row r="8">
      <c r="A8" s="9">
        <v>6.0</v>
      </c>
      <c r="B8" s="9">
        <v>110.0</v>
      </c>
      <c r="C8" s="9" t="s">
        <v>220</v>
      </c>
      <c r="D8" s="9" t="s">
        <v>213</v>
      </c>
      <c r="E8" s="9" t="s">
        <v>214</v>
      </c>
    </row>
    <row r="9">
      <c r="A9" s="9">
        <v>7.0</v>
      </c>
      <c r="B9" s="9">
        <v>111.0</v>
      </c>
      <c r="C9" s="9" t="s">
        <v>221</v>
      </c>
      <c r="D9" s="9" t="s">
        <v>213</v>
      </c>
      <c r="E9" s="9" t="s">
        <v>214</v>
      </c>
    </row>
    <row r="10">
      <c r="A10" s="9">
        <v>8.0</v>
      </c>
      <c r="B10" s="9">
        <v>1000.0</v>
      </c>
      <c r="C10" s="9" t="s">
        <v>222</v>
      </c>
      <c r="D10" s="9" t="s">
        <v>207</v>
      </c>
      <c r="E10" s="9" t="s">
        <v>208</v>
      </c>
    </row>
    <row r="11">
      <c r="A11" s="9">
        <v>9.0</v>
      </c>
      <c r="B11" s="9">
        <v>1001.0</v>
      </c>
      <c r="C11" s="9" t="s">
        <v>223</v>
      </c>
      <c r="D11" s="9" t="s">
        <v>210</v>
      </c>
      <c r="E11" s="9" t="s">
        <v>211</v>
      </c>
    </row>
    <row r="12">
      <c r="A12" s="9">
        <v>10.0</v>
      </c>
      <c r="B12" s="9">
        <v>1010.0</v>
      </c>
      <c r="C12" s="9" t="s">
        <v>224</v>
      </c>
      <c r="D12" s="9" t="s">
        <v>207</v>
      </c>
      <c r="E12" s="9" t="s">
        <v>208</v>
      </c>
    </row>
    <row r="13">
      <c r="A13" s="9">
        <v>11.0</v>
      </c>
      <c r="B13" s="9">
        <v>1011.0</v>
      </c>
      <c r="C13" s="9" t="s">
        <v>225</v>
      </c>
      <c r="D13" s="9" t="s">
        <v>210</v>
      </c>
      <c r="E13" s="9" t="s">
        <v>211</v>
      </c>
    </row>
    <row r="14">
      <c r="A14" s="9">
        <v>12.0</v>
      </c>
      <c r="B14" s="9">
        <v>1100.0</v>
      </c>
      <c r="C14" s="9" t="s">
        <v>226</v>
      </c>
      <c r="D14" s="9" t="s">
        <v>207</v>
      </c>
      <c r="E14" s="9" t="s">
        <v>208</v>
      </c>
    </row>
    <row r="15">
      <c r="A15" s="9">
        <v>13.0</v>
      </c>
      <c r="B15" s="9">
        <v>1101.0</v>
      </c>
      <c r="C15" s="9" t="s">
        <v>227</v>
      </c>
      <c r="D15" s="9" t="s">
        <v>207</v>
      </c>
      <c r="E15" s="9" t="s">
        <v>208</v>
      </c>
    </row>
    <row r="16">
      <c r="A16" s="9">
        <v>14.0</v>
      </c>
      <c r="B16" s="9">
        <v>1110.0</v>
      </c>
      <c r="C16" s="9" t="s">
        <v>228</v>
      </c>
      <c r="D16" s="9" t="s">
        <v>207</v>
      </c>
      <c r="E16" s="9" t="s">
        <v>208</v>
      </c>
    </row>
    <row r="17">
      <c r="A17" s="9">
        <v>15.0</v>
      </c>
      <c r="B17" s="9">
        <v>1111.0</v>
      </c>
      <c r="C17" s="9" t="s">
        <v>229</v>
      </c>
      <c r="D17" s="9" t="s">
        <v>207</v>
      </c>
      <c r="E17" s="9" t="s">
        <v>208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230</v>
      </c>
      <c r="B1" s="12" t="s">
        <v>231</v>
      </c>
      <c r="C1" s="12" t="s">
        <v>232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233</v>
      </c>
      <c r="B2" s="9" t="s">
        <v>231</v>
      </c>
    </row>
    <row r="3">
      <c r="A3" s="9" t="s">
        <v>234</v>
      </c>
      <c r="B3" s="9" t="s">
        <v>235</v>
      </c>
    </row>
    <row r="4">
      <c r="A4" s="9" t="s">
        <v>236</v>
      </c>
      <c r="B4" s="9" t="s">
        <v>237</v>
      </c>
    </row>
    <row r="5">
      <c r="A5" s="9" t="s">
        <v>238</v>
      </c>
      <c r="B5" s="9" t="s">
        <v>239</v>
      </c>
    </row>
    <row r="6">
      <c r="A6" s="9" t="s">
        <v>240</v>
      </c>
      <c r="B6" s="9" t="s">
        <v>241</v>
      </c>
    </row>
    <row r="7">
      <c r="A7" s="9" t="s">
        <v>242</v>
      </c>
      <c r="B7" s="9">
        <v>288.0</v>
      </c>
    </row>
    <row r="8">
      <c r="A8" s="9" t="s">
        <v>243</v>
      </c>
      <c r="B8" s="9" t="s">
        <v>244</v>
      </c>
    </row>
    <row r="9">
      <c r="A9" s="9" t="s">
        <v>245</v>
      </c>
      <c r="B9" s="9">
        <v>0.0</v>
      </c>
    </row>
    <row r="10">
      <c r="A10" s="9" t="s">
        <v>246</v>
      </c>
      <c r="B10" s="9" t="s">
        <v>247</v>
      </c>
    </row>
    <row r="11">
      <c r="A11" s="9" t="s">
        <v>248</v>
      </c>
      <c r="B11" s="9" t="s">
        <v>249</v>
      </c>
    </row>
    <row r="12">
      <c r="A12" s="9" t="s">
        <v>250</v>
      </c>
      <c r="B12" s="9">
        <v>0.0</v>
      </c>
    </row>
    <row r="13">
      <c r="A13" s="9" t="s">
        <v>251</v>
      </c>
      <c r="B13" s="9">
        <v>0.0</v>
      </c>
    </row>
    <row r="14">
      <c r="A14" s="9" t="s">
        <v>252</v>
      </c>
      <c r="B14" s="9">
        <v>0.0</v>
      </c>
    </row>
    <row r="15">
      <c r="A15" s="9" t="s">
        <v>253</v>
      </c>
      <c r="B15" s="9">
        <v>0.0</v>
      </c>
    </row>
    <row r="16">
      <c r="A16" s="9" t="s">
        <v>254</v>
      </c>
      <c r="B16" s="9" t="s">
        <v>255</v>
      </c>
    </row>
    <row r="17">
      <c r="A17" s="9" t="s">
        <v>256</v>
      </c>
      <c r="B17" s="9" t="s">
        <v>257</v>
      </c>
    </row>
  </sheetData>
  <drawing r:id="rId1"/>
</worksheet>
</file>